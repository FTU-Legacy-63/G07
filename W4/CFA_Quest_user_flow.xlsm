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itan\Downloads\"/>
    </mc:Choice>
  </mc:AlternateContent>
  <xr:revisionPtr revIDLastSave="0" documentId="13_ncr:1_{A9B3BE0B-288D-40C4-B16E-6E4BDB76CC58}" xr6:coauthVersionLast="47" xr6:coauthVersionMax="47" xr10:uidLastSave="{00000000-0000-0000-0000-000000000000}"/>
  <bookViews>
    <workbookView xWindow="-108" yWindow="-108" windowWidth="23256" windowHeight="12456" tabRatio="500" xr2:uid="{00000000-000D-0000-FFFF-FFFF00000000}"/>
  </bookViews>
  <sheets>
    <sheet name="HUONG_DAN" sheetId="1" r:id="rId1"/>
    <sheet name="BANK" sheetId="2" r:id="rId2"/>
    <sheet name="ARENA_1" sheetId="3" r:id="rId3"/>
    <sheet name="TRAP_I" sheetId="4" r:id="rId4"/>
    <sheet name="CROSSROADS" sheetId="5" r:id="rId5"/>
    <sheet name="TRAP_II" sheetId="6" r:id="rId6"/>
    <sheet name="BOSS" sheetId="7" r:id="rId7"/>
    <sheet name="O4" sheetId="8" r:id="rId8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10" i="8" l="1"/>
  <c r="B32" i="7"/>
  <c r="B27" i="7"/>
  <c r="B24" i="7"/>
  <c r="B23" i="7"/>
  <c r="A43" i="6"/>
  <c r="A42" i="6"/>
  <c r="A41" i="6"/>
  <c r="A40" i="6"/>
  <c r="A39" i="6"/>
  <c r="B22" i="6"/>
  <c r="B19" i="6"/>
  <c r="B18" i="6"/>
  <c r="B22" i="5"/>
  <c r="B19" i="5"/>
  <c r="B18" i="5"/>
  <c r="B22" i="4"/>
  <c r="B19" i="4"/>
  <c r="B18" i="4"/>
  <c r="B40" i="3"/>
  <c r="C38" i="3"/>
  <c r="C37" i="3"/>
  <c r="B31" i="3"/>
  <c r="B26" i="3"/>
  <c r="B24" i="3"/>
  <c r="B23" i="3"/>
  <c r="B25" i="3" s="1"/>
  <c r="B22" i="3"/>
  <c r="F19" i="3"/>
  <c r="E19" i="3"/>
  <c r="D19" i="3"/>
  <c r="C19" i="3"/>
  <c r="F18" i="3"/>
  <c r="E18" i="3"/>
  <c r="D18" i="3"/>
  <c r="C18" i="3"/>
  <c r="F17" i="3"/>
  <c r="E17" i="3"/>
  <c r="D17" i="3"/>
  <c r="C17" i="3"/>
  <c r="F16" i="3"/>
  <c r="E16" i="3"/>
  <c r="D16" i="3"/>
  <c r="C16" i="3"/>
  <c r="F15" i="3"/>
  <c r="E15" i="3"/>
  <c r="D15" i="3"/>
  <c r="C15" i="3"/>
  <c r="F14" i="3"/>
  <c r="E14" i="3"/>
  <c r="D14" i="3"/>
  <c r="C14" i="3"/>
  <c r="F13" i="3"/>
  <c r="E13" i="3"/>
  <c r="D13" i="3"/>
  <c r="C13" i="3"/>
  <c r="F12" i="3"/>
  <c r="E12" i="3"/>
  <c r="D12" i="3"/>
  <c r="C12" i="3"/>
  <c r="F11" i="3"/>
  <c r="E11" i="3"/>
  <c r="D11" i="3"/>
  <c r="C11" i="3"/>
  <c r="F10" i="3"/>
  <c r="E10" i="3"/>
  <c r="D10" i="3"/>
  <c r="C10" i="3"/>
  <c r="F9" i="3"/>
  <c r="E9" i="3"/>
  <c r="D9" i="3"/>
  <c r="C9" i="3"/>
  <c r="F8" i="3"/>
  <c r="E8" i="3"/>
  <c r="D8" i="3"/>
  <c r="C8" i="3"/>
  <c r="F7" i="3"/>
  <c r="E7" i="3"/>
  <c r="D7" i="3"/>
  <c r="C7" i="3"/>
  <c r="F6" i="3"/>
  <c r="E6" i="3"/>
  <c r="D6" i="3"/>
  <c r="C6" i="3"/>
  <c r="F5" i="3"/>
  <c r="E5" i="3"/>
  <c r="D5" i="3"/>
  <c r="C5" i="3"/>
  <c r="B12" i="8" s="1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K9" i="2"/>
  <c r="H9" i="2"/>
  <c r="K8" i="2"/>
  <c r="H8" i="2"/>
  <c r="K7" i="2"/>
  <c r="H7" i="2"/>
  <c r="K6" i="2"/>
  <c r="H6" i="2"/>
  <c r="K5" i="2"/>
  <c r="H5" i="2"/>
  <c r="B27" i="3" l="1"/>
  <c r="B32" i="3" s="1"/>
  <c r="B36" i="3"/>
  <c r="C36" i="3"/>
  <c r="B39" i="3"/>
  <c r="C39" i="3"/>
  <c r="B8" i="8"/>
  <c r="B37" i="3"/>
  <c r="D37" i="3" s="1"/>
  <c r="B9" i="8"/>
  <c r="C40" i="3"/>
  <c r="D40" i="3" s="1"/>
  <c r="B11" i="8"/>
  <c r="B38" i="3"/>
  <c r="D38" i="3" s="1"/>
  <c r="B28" i="3" l="1"/>
  <c r="B29" i="3" s="1"/>
  <c r="D3" i="4"/>
  <c r="B20" i="4"/>
  <c r="B21" i="4" s="1"/>
  <c r="D39" i="3"/>
  <c r="B23" i="4"/>
  <c r="D36" i="3"/>
  <c r="B42" i="3" s="1"/>
  <c r="E12" i="4" l="1"/>
  <c r="B12" i="4" s="1"/>
  <c r="C12" i="4" s="1"/>
  <c r="E7" i="4"/>
  <c r="B7" i="4" s="1"/>
  <c r="C7" i="4" s="1"/>
  <c r="E10" i="4"/>
  <c r="B10" i="4" s="1"/>
  <c r="C10" i="4" s="1"/>
  <c r="E13" i="4"/>
  <c r="B13" i="4" s="1"/>
  <c r="C13" i="4" s="1"/>
  <c r="E11" i="4"/>
  <c r="B11" i="4" s="1"/>
  <c r="C11" i="4" s="1"/>
  <c r="E14" i="4"/>
  <c r="B14" i="4" s="1"/>
  <c r="C14" i="4" s="1"/>
  <c r="B3" i="4"/>
  <c r="E6" i="4"/>
  <c r="E9" i="4"/>
  <c r="B9" i="4" s="1"/>
  <c r="C9" i="4" s="1"/>
  <c r="E8" i="4"/>
  <c r="B8" i="4" s="1"/>
  <c r="C8" i="4" s="1"/>
  <c r="E15" i="4"/>
  <c r="B15" i="4" s="1"/>
  <c r="C15" i="4" s="1"/>
  <c r="E13" i="5"/>
  <c r="B13" i="5" s="1"/>
  <c r="C13" i="5" s="1"/>
  <c r="B24" i="4"/>
  <c r="E14" i="5"/>
  <c r="B14" i="5" s="1"/>
  <c r="C14" i="5" s="1"/>
  <c r="E6" i="5"/>
  <c r="E8" i="5"/>
  <c r="B8" i="5" s="1"/>
  <c r="C8" i="5" s="1"/>
  <c r="B20" i="5"/>
  <c r="B21" i="5" s="1"/>
  <c r="E9" i="5"/>
  <c r="B9" i="5" s="1"/>
  <c r="C9" i="5" s="1"/>
  <c r="E10" i="5"/>
  <c r="B10" i="5" s="1"/>
  <c r="C10" i="5" s="1"/>
  <c r="D3" i="5"/>
  <c r="E12" i="5"/>
  <c r="B12" i="5" s="1"/>
  <c r="C12" i="5" s="1"/>
  <c r="E11" i="5"/>
  <c r="B11" i="5" s="1"/>
  <c r="C11" i="5" s="1"/>
  <c r="B26" i="4"/>
  <c r="E7" i="5"/>
  <c r="B7" i="5" s="1"/>
  <c r="C7" i="5" s="1"/>
  <c r="E15" i="5"/>
  <c r="B15" i="5" s="1"/>
  <c r="C15" i="5" s="1"/>
  <c r="G7" i="5" l="1"/>
  <c r="F7" i="5"/>
  <c r="D7" i="5"/>
  <c r="H7" i="5"/>
  <c r="H8" i="5"/>
  <c r="G8" i="5"/>
  <c r="D8" i="5"/>
  <c r="F8" i="5"/>
  <c r="H11" i="5"/>
  <c r="G11" i="5"/>
  <c r="D11" i="5"/>
  <c r="F11" i="5"/>
  <c r="D10" i="8"/>
  <c r="D9" i="8"/>
  <c r="B6" i="5"/>
  <c r="C6" i="5" s="1"/>
  <c r="D11" i="8"/>
  <c r="G8" i="8"/>
  <c r="D12" i="8"/>
  <c r="D8" i="8"/>
  <c r="G10" i="8"/>
  <c r="G11" i="8"/>
  <c r="G12" i="8"/>
  <c r="G9" i="8"/>
  <c r="C11" i="8"/>
  <c r="C9" i="8"/>
  <c r="C10" i="8"/>
  <c r="C8" i="8"/>
  <c r="B6" i="4"/>
  <c r="C6" i="4" s="1"/>
  <c r="C35" i="4"/>
  <c r="C34" i="5"/>
  <c r="C32" i="5"/>
  <c r="C12" i="8"/>
  <c r="C34" i="4"/>
  <c r="C31" i="4"/>
  <c r="B33" i="4"/>
  <c r="C32" i="4"/>
  <c r="B32" i="5"/>
  <c r="B31" i="4"/>
  <c r="D31" i="4" s="1"/>
  <c r="B35" i="4"/>
  <c r="B31" i="5"/>
  <c r="B33" i="5"/>
  <c r="B34" i="4"/>
  <c r="B32" i="4"/>
  <c r="B34" i="5"/>
  <c r="C33" i="4"/>
  <c r="C33" i="5"/>
  <c r="C35" i="5"/>
  <c r="B35" i="5"/>
  <c r="C31" i="5"/>
  <c r="G10" i="4"/>
  <c r="F10" i="4"/>
  <c r="D10" i="4"/>
  <c r="H10" i="4"/>
  <c r="F14" i="5"/>
  <c r="G14" i="5"/>
  <c r="H14" i="5"/>
  <c r="D14" i="5"/>
  <c r="G15" i="5"/>
  <c r="F15" i="5"/>
  <c r="D15" i="5"/>
  <c r="H15" i="5"/>
  <c r="H8" i="4"/>
  <c r="G8" i="4"/>
  <c r="D8" i="4"/>
  <c r="F8" i="4"/>
  <c r="D12" i="5"/>
  <c r="H12" i="5"/>
  <c r="G12" i="5"/>
  <c r="F12" i="5"/>
  <c r="B27" i="4"/>
  <c r="B23" i="5"/>
  <c r="F14" i="4"/>
  <c r="H14" i="4"/>
  <c r="D14" i="4"/>
  <c r="G14" i="4"/>
  <c r="G15" i="4"/>
  <c r="F15" i="4"/>
  <c r="D15" i="4"/>
  <c r="H15" i="4"/>
  <c r="G7" i="4"/>
  <c r="F7" i="4"/>
  <c r="D7" i="4"/>
  <c r="H7" i="4"/>
  <c r="H9" i="4"/>
  <c r="F9" i="4"/>
  <c r="D9" i="4"/>
  <c r="G9" i="4"/>
  <c r="D12" i="4"/>
  <c r="H12" i="4"/>
  <c r="G12" i="4"/>
  <c r="F12" i="4"/>
  <c r="B25" i="4"/>
  <c r="H11" i="4"/>
  <c r="G11" i="4"/>
  <c r="F11" i="4"/>
  <c r="D11" i="4"/>
  <c r="H9" i="5"/>
  <c r="F9" i="5"/>
  <c r="D9" i="5"/>
  <c r="G9" i="5"/>
  <c r="G10" i="5"/>
  <c r="F10" i="5"/>
  <c r="D10" i="5"/>
  <c r="H10" i="5"/>
  <c r="D13" i="5"/>
  <c r="H13" i="5"/>
  <c r="F13" i="5"/>
  <c r="G13" i="5"/>
  <c r="D13" i="4"/>
  <c r="H13" i="4"/>
  <c r="G13" i="4"/>
  <c r="F13" i="4"/>
  <c r="D35" i="5" l="1"/>
  <c r="E35" i="5" s="1"/>
  <c r="D33" i="5"/>
  <c r="E33" i="5" s="1"/>
  <c r="D33" i="4"/>
  <c r="D34" i="4"/>
  <c r="F6" i="5"/>
  <c r="G6" i="5"/>
  <c r="H6" i="5"/>
  <c r="D6" i="5"/>
  <c r="D31" i="5"/>
  <c r="E31" i="5" s="1"/>
  <c r="D35" i="4"/>
  <c r="F6" i="4"/>
  <c r="H6" i="4"/>
  <c r="G6" i="4"/>
  <c r="D6" i="4"/>
  <c r="D34" i="5"/>
  <c r="E34" i="5" s="1"/>
  <c r="B24" i="5"/>
  <c r="B20" i="6"/>
  <c r="B21" i="6" s="1"/>
  <c r="D3" i="6"/>
  <c r="B26" i="5"/>
  <c r="B27" i="5" s="1"/>
  <c r="D32" i="4"/>
  <c r="D32" i="5"/>
  <c r="E32" i="5" s="1"/>
  <c r="B37" i="5" s="1"/>
  <c r="E15" i="6" s="1"/>
  <c r="B15" i="6" s="1"/>
  <c r="C15" i="6" s="1"/>
  <c r="B23" i="6" l="1"/>
  <c r="D3" i="7" s="1"/>
  <c r="B25" i="5"/>
  <c r="H15" i="6"/>
  <c r="G15" i="6"/>
  <c r="D15" i="6"/>
  <c r="F15" i="6"/>
  <c r="E11" i="6"/>
  <c r="B11" i="6" s="1"/>
  <c r="C11" i="6" s="1"/>
  <c r="E13" i="6"/>
  <c r="B13" i="6" s="1"/>
  <c r="C13" i="6" s="1"/>
  <c r="E14" i="6"/>
  <c r="B14" i="6" s="1"/>
  <c r="C14" i="6" s="1"/>
  <c r="E9" i="6"/>
  <c r="B9" i="6" s="1"/>
  <c r="C9" i="6" s="1"/>
  <c r="E12" i="6"/>
  <c r="B12" i="6" s="1"/>
  <c r="C12" i="6" s="1"/>
  <c r="B3" i="6"/>
  <c r="E8" i="6"/>
  <c r="B8" i="6" s="1"/>
  <c r="C8" i="6" s="1"/>
  <c r="E6" i="6"/>
  <c r="E7" i="6"/>
  <c r="B7" i="6" s="1"/>
  <c r="C7" i="6" s="1"/>
  <c r="E10" i="6"/>
  <c r="B10" i="6" s="1"/>
  <c r="C10" i="6" s="1"/>
  <c r="B26" i="6" l="1"/>
  <c r="B24" i="6"/>
  <c r="B25" i="7"/>
  <c r="B26" i="7" s="1"/>
  <c r="G14" i="6"/>
  <c r="F14" i="6"/>
  <c r="D14" i="6"/>
  <c r="H14" i="6"/>
  <c r="D11" i="6"/>
  <c r="H11" i="6"/>
  <c r="G11" i="6"/>
  <c r="F11" i="6"/>
  <c r="E9" i="8"/>
  <c r="E8" i="8"/>
  <c r="E12" i="8"/>
  <c r="B6" i="6"/>
  <c r="C6" i="6" s="1"/>
  <c r="E11" i="8"/>
  <c r="E10" i="8"/>
  <c r="C35" i="6"/>
  <c r="B34" i="6"/>
  <c r="C33" i="6"/>
  <c r="C31" i="6"/>
  <c r="B32" i="6"/>
  <c r="B31" i="6"/>
  <c r="C34" i="6"/>
  <c r="B35" i="6"/>
  <c r="C32" i="6"/>
  <c r="B33" i="6"/>
  <c r="F13" i="6"/>
  <c r="G13" i="6"/>
  <c r="H13" i="6"/>
  <c r="D13" i="6"/>
  <c r="B27" i="6"/>
  <c r="H8" i="6"/>
  <c r="F8" i="6"/>
  <c r="D8" i="6"/>
  <c r="G8" i="6"/>
  <c r="B6" i="8"/>
  <c r="B28" i="7"/>
  <c r="H7" i="6"/>
  <c r="G7" i="6"/>
  <c r="D7" i="6"/>
  <c r="F7" i="6"/>
  <c r="H10" i="6"/>
  <c r="G10" i="6"/>
  <c r="F10" i="6"/>
  <c r="D10" i="6"/>
  <c r="D12" i="6"/>
  <c r="H12" i="6"/>
  <c r="F12" i="6"/>
  <c r="G12" i="6"/>
  <c r="G9" i="6"/>
  <c r="F9" i="6"/>
  <c r="D9" i="6"/>
  <c r="H9" i="6"/>
  <c r="B25" i="6" l="1"/>
  <c r="D33" i="6"/>
  <c r="B41" i="6" s="1"/>
  <c r="C41" i="6" s="1"/>
  <c r="D35" i="6"/>
  <c r="B43" i="6" s="1"/>
  <c r="C43" i="6" s="1"/>
  <c r="D31" i="6"/>
  <c r="B39" i="6" s="1"/>
  <c r="C39" i="6" s="1"/>
  <c r="G6" i="6"/>
  <c r="F6" i="6"/>
  <c r="D6" i="6"/>
  <c r="H6" i="6"/>
  <c r="B3" i="8"/>
  <c r="B29" i="7"/>
  <c r="D32" i="6"/>
  <c r="B40" i="6" s="1"/>
  <c r="C40" i="6" s="1"/>
  <c r="D34" i="6"/>
  <c r="B42" i="6" s="1"/>
  <c r="C42" i="6" s="1"/>
  <c r="B30" i="7" l="1"/>
  <c r="B5" i="8" s="1"/>
  <c r="D40" i="6"/>
  <c r="E40" i="6" s="1"/>
  <c r="F40" i="6" s="1"/>
  <c r="D42" i="6"/>
  <c r="E42" i="6" s="1"/>
  <c r="F42" i="6" s="1"/>
  <c r="D41" i="6"/>
  <c r="E41" i="6" s="1"/>
  <c r="F41" i="6" s="1"/>
  <c r="D39" i="6"/>
  <c r="D43" i="6"/>
  <c r="E43" i="6" s="1"/>
  <c r="F43" i="6" s="1"/>
  <c r="E39" i="6" l="1"/>
  <c r="B50" i="6"/>
  <c r="B48" i="6"/>
  <c r="B49" i="6"/>
  <c r="E44" i="6" l="1"/>
  <c r="F39" i="6"/>
  <c r="E15" i="7"/>
  <c r="B15" i="7" s="1"/>
  <c r="C15" i="7" s="1"/>
  <c r="E13" i="7"/>
  <c r="B13" i="7" s="1"/>
  <c r="C13" i="7" s="1"/>
  <c r="E17" i="7"/>
  <c r="B17" i="7" s="1"/>
  <c r="C17" i="7" s="1"/>
  <c r="E16" i="7"/>
  <c r="B16" i="7" s="1"/>
  <c r="C16" i="7" s="1"/>
  <c r="E14" i="7"/>
  <c r="B14" i="7" s="1"/>
  <c r="C14" i="7" s="1"/>
  <c r="E10" i="7"/>
  <c r="B10" i="7" s="1"/>
  <c r="C10" i="7" s="1"/>
  <c r="B4" i="7"/>
  <c r="E9" i="7"/>
  <c r="B9" i="7" s="1"/>
  <c r="C9" i="7" s="1"/>
  <c r="E8" i="7"/>
  <c r="B8" i="7" s="1"/>
  <c r="C8" i="7" s="1"/>
  <c r="E7" i="7"/>
  <c r="B7" i="7" s="1"/>
  <c r="C7" i="7" s="1"/>
  <c r="E11" i="7"/>
  <c r="B11" i="7" s="1"/>
  <c r="C11" i="7" s="1"/>
  <c r="E12" i="7"/>
  <c r="B12" i="7" s="1"/>
  <c r="C12" i="7" s="1"/>
  <c r="E6" i="7"/>
  <c r="E19" i="7"/>
  <c r="B19" i="7" s="1"/>
  <c r="C19" i="7" s="1"/>
  <c r="E20" i="7"/>
  <c r="B20" i="7" s="1"/>
  <c r="C20" i="7" s="1"/>
  <c r="E18" i="7"/>
  <c r="B18" i="7" s="1"/>
  <c r="C18" i="7" s="1"/>
  <c r="H19" i="7" l="1"/>
  <c r="F19" i="7"/>
  <c r="D19" i="7"/>
  <c r="G19" i="7"/>
  <c r="D14" i="7"/>
  <c r="H14" i="7"/>
  <c r="G14" i="7"/>
  <c r="F14" i="7"/>
  <c r="G12" i="7"/>
  <c r="F12" i="7"/>
  <c r="D12" i="7"/>
  <c r="H12" i="7"/>
  <c r="H11" i="7"/>
  <c r="F11" i="7"/>
  <c r="D11" i="7"/>
  <c r="G11" i="7"/>
  <c r="G17" i="7"/>
  <c r="F17" i="7"/>
  <c r="D17" i="7"/>
  <c r="H17" i="7"/>
  <c r="H13" i="7"/>
  <c r="G13" i="7"/>
  <c r="F13" i="7"/>
  <c r="D13" i="7"/>
  <c r="F16" i="7"/>
  <c r="H16" i="7"/>
  <c r="G16" i="7"/>
  <c r="D16" i="7"/>
  <c r="F8" i="7"/>
  <c r="H8" i="7"/>
  <c r="G8" i="7"/>
  <c r="D8" i="7"/>
  <c r="D15" i="7"/>
  <c r="H15" i="7"/>
  <c r="G15" i="7"/>
  <c r="F15" i="7"/>
  <c r="H18" i="7"/>
  <c r="G18" i="7"/>
  <c r="D18" i="7"/>
  <c r="F18" i="7"/>
  <c r="G9" i="7"/>
  <c r="F9" i="7"/>
  <c r="D9" i="7"/>
  <c r="H9" i="7"/>
  <c r="H10" i="7"/>
  <c r="G10" i="7"/>
  <c r="D10" i="7"/>
  <c r="F10" i="7"/>
  <c r="F8" i="8"/>
  <c r="H12" i="8"/>
  <c r="H11" i="8"/>
  <c r="F12" i="8"/>
  <c r="H10" i="8"/>
  <c r="F11" i="8"/>
  <c r="H9" i="8"/>
  <c r="F9" i="8"/>
  <c r="F10" i="8"/>
  <c r="H8" i="8"/>
  <c r="B6" i="7"/>
  <c r="C6" i="7" s="1"/>
  <c r="D7" i="7"/>
  <c r="H7" i="7"/>
  <c r="G7" i="7"/>
  <c r="F7" i="7"/>
  <c r="G20" i="7"/>
  <c r="F20" i="7"/>
  <c r="D20" i="7"/>
  <c r="H20" i="7"/>
  <c r="I9" i="8" l="1"/>
  <c r="J9" i="8" s="1"/>
  <c r="I10" i="8"/>
  <c r="J10" i="8" s="1"/>
  <c r="D6" i="7"/>
  <c r="H6" i="7"/>
  <c r="B4" i="8" s="1"/>
  <c r="G6" i="7"/>
  <c r="F6" i="7"/>
  <c r="J11" i="8"/>
  <c r="I11" i="8"/>
  <c r="I8" i="8"/>
  <c r="J8" i="8" s="1"/>
  <c r="J12" i="8"/>
  <c r="I12" i="8"/>
</calcChain>
</file>

<file path=xl/sharedStrings.xml><?xml version="1.0" encoding="utf-8"?>
<sst xmlns="http://schemas.openxmlformats.org/spreadsheetml/2006/main" count="753" uniqueCount="300">
  <si>
    <t>Mỗi Arena là một sheet. Người chơi phải làm xong Arena trước thì Arena sau mới có câu hỏi.</t>
  </si>
  <si>
    <t>Chỉ có 2 loại ô nhập tay: cột "Đúng/Sai" và cột "Vật phẩm". Mọi ô còn lại là công thức.</t>
  </si>
  <si>
    <t>CÁCH ĐỌC FILE</t>
  </si>
  <si>
    <t>BANK</t>
  </si>
  <si>
    <t>110 câu của ethics_bank_110.json — id, cụm, module, sub-standard, độ khó và thứ tự bốc. Dữ liệu tham chiếu, không sửa.</t>
  </si>
  <si>
    <t>ARENA_1</t>
  </si>
  <si>
    <t>15 câu đề cố định (3 câu × 5 cụm, đủ 3 mức khó). Nhập đáp án ở đây. Kết quả sinh ra W1 = cụm yếu nhất.</t>
  </si>
  <si>
    <t>TRAP_I</t>
  </si>
  <si>
    <t>10 câu của cụm W1, tự bốc từ BANK. Nhập đáp án.</t>
  </si>
  <si>
    <t>CROSSROADS</t>
  </si>
  <si>
    <t>10 câu, 2 câu mỗi cụm. Nhập đáp án. Kết quả sinh ra W2 = cụm yếu nhì, không trùng W1.</t>
  </si>
  <si>
    <t>TRAP_II</t>
  </si>
  <si>
    <t>10 câu của cụm W2, tự bốc từ BANK. Nhập đáp án. Kết quả xếp hạng 3 cụm vào Boss.</t>
  </si>
  <si>
    <t>BOSS</t>
  </si>
  <si>
    <t>15 câu chia 7/5/3 cho ba cụm yếu nhất. Nhập đáp án.</t>
  </si>
  <si>
    <t>O4</t>
  </si>
  <si>
    <t>Bảng tổng kết sau Boss: accuracy_by_arena, mốc chẩn đoán, mức thay đổi, kết luận từng cụm, performance_score.</t>
  </si>
  <si>
    <t>QUY ƯỚC MÀU</t>
  </si>
  <si>
    <t>Chữ xanh, nền xanh nhạt</t>
  </si>
  <si>
    <t>Ô NHẬP TAY. Chỉ hai cột này. Xoá trắng để chơi lại.</t>
  </si>
  <si>
    <t>Chữ đen</t>
  </si>
  <si>
    <t>Ô công thức. Bấm vào ô để xem cách tính.</t>
  </si>
  <si>
    <t>Nền vàng</t>
  </si>
  <si>
    <t>Kết quả chốt — con số hiện trên màn hình người chơi.</t>
  </si>
  <si>
    <t>Nền xám</t>
  </si>
  <si>
    <t>Ô bị khoá theo luật chơi (ví dụ: Arena 1 và Boss không được dùng vật phẩm).</t>
  </si>
  <si>
    <t>THAM SỐ HỆ THỐNG — sửa ở đây thì cả file tính lại</t>
  </si>
  <si>
    <t>Ngưỡng đỗ mỗi Arena</t>
  </si>
  <si>
    <t>Mục 8 — dưới ngưỡng là trượt.</t>
  </si>
  <si>
    <t>Credit khởi đầu</t>
  </si>
  <si>
    <t>Mục 8.</t>
  </si>
  <si>
    <t>Thưởng vượt Boss lần đầu</t>
  </si>
  <si>
    <t>Ngưỡng Boss theo cụm</t>
  </si>
  <si>
    <t>Dùng ở O4 để dán nhãn kết luận, không phải điểm đỗ/trượt Arena 5.</t>
  </si>
  <si>
    <t>Chi phí mỗi vật phẩm</t>
  </si>
  <si>
    <t>Trừ ngay tại Arena dùng vật phẩm. Arena 1 và Boss cấm vật phẩm nên không phát sinh.</t>
  </si>
  <si>
    <t>LUỒNG SINH ĐỀ</t>
  </si>
  <si>
    <t>•</t>
  </si>
  <si>
    <t>Arena 1 (15 câu cố định) → đo tỷ lệ đúng 5 cụm → cụm thấp nhất = W1</t>
  </si>
  <si>
    <t>Trap I = 10 câu của W1 → tính lại tỷ lệ cộng dồn</t>
  </si>
  <si>
    <t>Crossroads = 10 câu, 2 mỗi cụm → cụm thấp nhất không trùng W1 = W2</t>
  </si>
  <si>
    <t>Trap II = 10 câu của W2 → xếp hạng lại 5 cụm</t>
  </si>
  <si>
    <t>Boss = 15 câu cho 3 cụm yếu nhất, chia 7 / 5 / 3</t>
  </si>
  <si>
    <t>O4 = so mốc chẩn đoán (Arena 1 + Crossroads) với kết quả Boss</t>
  </si>
  <si>
    <t>BANK — 110 câu trích từ ethics_bank_110.json</t>
  </si>
  <si>
    <t>Dữ liệu tham chiếu, không sửa. Cột "Thứ tự bốc" là vị trí của câu trong hàng đợi của cụm; Arena sau lấy tiếp từ vị trí chưa dùng.</t>
  </si>
  <si>
    <t>STT</t>
  </si>
  <si>
    <t>Mã câu</t>
  </si>
  <si>
    <t>Cụm</t>
  </si>
  <si>
    <t>Module</t>
  </si>
  <si>
    <t>Sub-standard</t>
  </si>
  <si>
    <t>Độ khó</t>
  </si>
  <si>
    <t>Thứ tự bốc</t>
  </si>
  <si>
    <t>Khoá tra cứu</t>
  </si>
  <si>
    <t>Số câu mỗi cụm</t>
  </si>
  <si>
    <t>ETH-C1-GIPS-001</t>
  </si>
  <si>
    <t>C1</t>
  </si>
  <si>
    <t>GIPS</t>
  </si>
  <si>
    <t>GIPS-fundamentals</t>
  </si>
  <si>
    <t>ETH-C1-CODE-001</t>
  </si>
  <si>
    <t>CODE</t>
  </si>
  <si>
    <t>CODE-six-components</t>
  </si>
  <si>
    <t>C2</t>
  </si>
  <si>
    <t>ETH-C1-GIPS-009</t>
  </si>
  <si>
    <t>C3</t>
  </si>
  <si>
    <t>ETH-C1-CODE-004</t>
  </si>
  <si>
    <t>C4</t>
  </si>
  <si>
    <t>ETH-C1-GIPS-010</t>
  </si>
  <si>
    <t>GIPS-composite</t>
  </si>
  <si>
    <t>C5</t>
  </si>
  <si>
    <t>ETH-C1-GIPS-011</t>
  </si>
  <si>
    <t>GIPS-disclosures</t>
  </si>
  <si>
    <t>ETH-C1-CODE-009</t>
  </si>
  <si>
    <t>ETH-C1-CODE-007</t>
  </si>
  <si>
    <t>CODE-code-vs-standards</t>
  </si>
  <si>
    <t>ETH-C1-GIPS-003</t>
  </si>
  <si>
    <t>ETH-C1-GIPS-006</t>
  </si>
  <si>
    <t>ETH-C1-CODE-002</t>
  </si>
  <si>
    <t>ETH-C1-CODE-003</t>
  </si>
  <si>
    <t>ETH-C1-CODE-005</t>
  </si>
  <si>
    <t>ETH-C1-CODE-006</t>
  </si>
  <si>
    <t>ETH-C1-CODE-008</t>
  </si>
  <si>
    <t>ETH-C1-CODE-010</t>
  </si>
  <si>
    <t>ETH-C1-CODE-011</t>
  </si>
  <si>
    <t>ETH-C1-GIPS-002</t>
  </si>
  <si>
    <t>ETH-C1-GIPS-004</t>
  </si>
  <si>
    <t>ETH-C1-GIPS-005</t>
  </si>
  <si>
    <t>ETH-C1-GIPS-007</t>
  </si>
  <si>
    <t>GIPS-verification</t>
  </si>
  <si>
    <t>ETH-C1-GIPS-008</t>
  </si>
  <si>
    <t>ETH-C2-S1-003</t>
  </si>
  <si>
    <t>S1</t>
  </si>
  <si>
    <t>I(A)</t>
  </si>
  <si>
    <t>ETH-C2-S2-001</t>
  </si>
  <si>
    <t>S2</t>
  </si>
  <si>
    <t>II(A)</t>
  </si>
  <si>
    <t>ETH-C2-S1-002</t>
  </si>
  <si>
    <t>ETH-C2-S1-011</t>
  </si>
  <si>
    <t>I(D)</t>
  </si>
  <si>
    <t>ETH-C2-S1-001</t>
  </si>
  <si>
    <t>ETH-C2-S1-004</t>
  </si>
  <si>
    <t>I(B)</t>
  </si>
  <si>
    <t>ETH-C2-S1-005</t>
  </si>
  <si>
    <t>ETH-C2-S1-006</t>
  </si>
  <si>
    <t>ETH-C2-S2-005</t>
  </si>
  <si>
    <t>II(B)</t>
  </si>
  <si>
    <t>ETH-C2-S2-002</t>
  </si>
  <si>
    <t>ETH-C2-S2-004</t>
  </si>
  <si>
    <t>ETH-C2-S2-003</t>
  </si>
  <si>
    <t>ETH-C2-S2-006</t>
  </si>
  <si>
    <t>ETH-C2-S1-008</t>
  </si>
  <si>
    <t>I(C)</t>
  </si>
  <si>
    <t>ETH-C2-S2-007</t>
  </si>
  <si>
    <t>ETH-C2-S1-007</t>
  </si>
  <si>
    <t>ETH-C2-S1-010</t>
  </si>
  <si>
    <t>ETH-C2-S1-009</t>
  </si>
  <si>
    <t>ETH-C2-S2-009</t>
  </si>
  <si>
    <t>ETH-C2-S2-010</t>
  </si>
  <si>
    <t>ETH-C2-S2-008</t>
  </si>
  <si>
    <t>ETH-C2-S2-011</t>
  </si>
  <si>
    <t>ETH-C3-S3-001</t>
  </si>
  <si>
    <t>S3</t>
  </si>
  <si>
    <t>III(C)</t>
  </si>
  <si>
    <t>ETH-C3-S3-002</t>
  </si>
  <si>
    <t>ETH-C3-S3-005</t>
  </si>
  <si>
    <t>ETH-C3-S3-004</t>
  </si>
  <si>
    <t>ETH-C3-S3-006</t>
  </si>
  <si>
    <t>III(A)</t>
  </si>
  <si>
    <t>ETH-C3-S3-009</t>
  </si>
  <si>
    <t>ETH-C3-S3-020</t>
  </si>
  <si>
    <t>ETH-C3-S3-007</t>
  </si>
  <si>
    <t>ETH-C3-S3-010</t>
  </si>
  <si>
    <t>III(B)</t>
  </si>
  <si>
    <t>ETH-C3-S3-011</t>
  </si>
  <si>
    <t>ETH-C3-S3-013</t>
  </si>
  <si>
    <t>III(D)</t>
  </si>
  <si>
    <t>ETH-C3-S3-015</t>
  </si>
  <si>
    <t>III(E)</t>
  </si>
  <si>
    <t>ETH-C3-S3-003</t>
  </si>
  <si>
    <t>ETH-C3-S3-008</t>
  </si>
  <si>
    <t>ETH-C3-S3-012</t>
  </si>
  <si>
    <t>ETH-C3-S3-021</t>
  </si>
  <si>
    <t>ETH-C3-S3-016</t>
  </si>
  <si>
    <t>ETH-C3-S3-014</t>
  </si>
  <si>
    <t>ETH-C3-S3-017</t>
  </si>
  <si>
    <t>ETH-C3-S3-018</t>
  </si>
  <si>
    <t>ETH-C3-S3-019</t>
  </si>
  <si>
    <t>ETH-C3-S3-022</t>
  </si>
  <si>
    <t>ETH-C4-S4-005</t>
  </si>
  <si>
    <t>S4</t>
  </si>
  <si>
    <t>IV(B)</t>
  </si>
  <si>
    <t>ETH-C4-S5-001</t>
  </si>
  <si>
    <t>S5</t>
  </si>
  <si>
    <t>V(A)</t>
  </si>
  <si>
    <t>ETH-C4-S4-003</t>
  </si>
  <si>
    <t>IV(A)</t>
  </si>
  <si>
    <t>ETH-C4-S4-007</t>
  </si>
  <si>
    <t>IV(C)</t>
  </si>
  <si>
    <t>ETH-C4-S5-003</t>
  </si>
  <si>
    <t>ETH-C4-S4-001</t>
  </si>
  <si>
    <t>ETH-C4-S4-002</t>
  </si>
  <si>
    <t>ETH-C4-S4-004</t>
  </si>
  <si>
    <t>ETH-C4-S4-006</t>
  </si>
  <si>
    <t>ETH-C4-S4-008</t>
  </si>
  <si>
    <t>ETH-C4-S4-009</t>
  </si>
  <si>
    <t>ETH-C4-S4-010</t>
  </si>
  <si>
    <t>ETH-C4-S4-011</t>
  </si>
  <si>
    <t>ETH-C4-S5-002</t>
  </si>
  <si>
    <t>ETH-C4-S5-004</t>
  </si>
  <si>
    <t>V(B)</t>
  </si>
  <si>
    <t>ETH-C4-S5-005</t>
  </si>
  <si>
    <t>ETH-C4-S5-006</t>
  </si>
  <si>
    <t>ETH-C4-S5-007</t>
  </si>
  <si>
    <t>V(C)</t>
  </si>
  <si>
    <t>ETH-C4-S5-008</t>
  </si>
  <si>
    <t>ETH-C4-S5-009</t>
  </si>
  <si>
    <t>ETH-C4-S5-010</t>
  </si>
  <si>
    <t>ETH-C4-S5-011</t>
  </si>
  <si>
    <t>ETH-C5-S6-002</t>
  </si>
  <si>
    <t>S6</t>
  </si>
  <si>
    <t>VI(A)</t>
  </si>
  <si>
    <t>ETH-C5-S7-001</t>
  </si>
  <si>
    <t>S7</t>
  </si>
  <si>
    <t>VII(A)</t>
  </si>
  <si>
    <t>ETH-C5-S6-004</t>
  </si>
  <si>
    <t>ETH-C5-S6-001</t>
  </si>
  <si>
    <t>ETH-C5-S7-002</t>
  </si>
  <si>
    <t>ETH-C5-S6-003</t>
  </si>
  <si>
    <t>ETH-C5-S6-005</t>
  </si>
  <si>
    <t>VI(B)</t>
  </si>
  <si>
    <t>ETH-C5-S6-006</t>
  </si>
  <si>
    <t>ETH-C5-S6-007</t>
  </si>
  <si>
    <t>ETH-C5-S6-008</t>
  </si>
  <si>
    <t>VI(C)</t>
  </si>
  <si>
    <t>ETH-C5-S6-009</t>
  </si>
  <si>
    <t>ETH-C5-S6-010</t>
  </si>
  <si>
    <t>ETH-C5-S6-011</t>
  </si>
  <si>
    <t>ETH-C5-S7-003</t>
  </si>
  <si>
    <t>ETH-C5-S7-004</t>
  </si>
  <si>
    <t>VII(B)</t>
  </si>
  <si>
    <t>ETH-C5-S7-005</t>
  </si>
  <si>
    <t>ETH-C5-S7-006</t>
  </si>
  <si>
    <t>ETH-C5-S7-007</t>
  </si>
  <si>
    <t>ETH-C5-S7-008</t>
  </si>
  <si>
    <t>ETH-C5-S7-009</t>
  </si>
  <si>
    <t>ETH-C5-S7-010</t>
  </si>
  <si>
    <t>ETH-C5-S7-011</t>
  </si>
  <si>
    <t>Bài chẩn đoán. 3 câu mỗi cụm, rải hết 9 module, đủ 3 mức khó. Luật: Arena 1 KHÔNG được dùng vật phẩm.</t>
  </si>
  <si>
    <t>Đúng/Sai</t>
  </si>
  <si>
    <t>Vật phẩm</t>
  </si>
  <si>
    <t>KẾT QUẢ ARENA (công thức 2 — tính cả câu dùng vật phẩm)</t>
  </si>
  <si>
    <t>Số ô đã nhập</t>
  </si>
  <si>
    <t>Số câu đúng</t>
  </si>
  <si>
    <t>Tổng số câu</t>
  </si>
  <si>
    <t>arena_score_correct</t>
  </si>
  <si>
    <t>Số câu đúng ÷ tổng số câu. Câu đúng nhờ vật phẩm VẪN được tính.</t>
  </si>
  <si>
    <t>Ngưỡng đỗ</t>
  </si>
  <si>
    <t>TRẠNG THÁI</t>
  </si>
  <si>
    <t>KHÓA = Arena trước chưa qua. CHƯA XONG = chưa nhập đủ đáp án.</t>
  </si>
  <si>
    <t>Credit nhận</t>
  </si>
  <si>
    <t>Credit cộng dồn</t>
  </si>
  <si>
    <t>Kiểm tra luật vật phẩm</t>
  </si>
  <si>
    <t>Thông báo</t>
  </si>
  <si>
    <t>CHẨN ĐOÁN THEO CỤM (công thức 1 — loại câu dùng vật phẩm khỏi cả tử và mẫu)</t>
  </si>
  <si>
    <t>Đúng</t>
  </si>
  <si>
    <t>Đã hỏi</t>
  </si>
  <si>
    <t>Tỷ lệ đúng</t>
  </si>
  <si>
    <t>W1 — cụm yếu nhất sau Arena 1</t>
  </si>
  <si>
    <t>Trap I sẽ lấy 10 câu của cụm này. Bằng tỷ lệ thì chọn mã cụm nhỏ hơn.</t>
  </si>
  <si>
    <t>TRAP I — 10 câu của cụm yếu nhất (W1)</t>
  </si>
  <si>
    <t>Câu hỏi tự bốc từ BANK theo cụm W1 mà Arena 1 chỉ ra. Tối đa 1 vật phẩm.</t>
  </si>
  <si>
    <t>Cụm đang nhắm:</t>
  </si>
  <si>
    <t>Vị trí bốc</t>
  </si>
  <si>
    <t>Dòng BANK</t>
  </si>
  <si>
    <t>Credit mang sang từ Arena trước + Credit nhận − Credit trừ do vật phẩm.</t>
  </si>
  <si>
    <t>Credit trừ do vật phẩm</t>
  </si>
  <si>
    <t>Số vật phẩm đã dùng × chi phí mỗi vật phẩm (HUONG_DAN!B25 = 3 Credit).</t>
  </si>
  <si>
    <t>Kiểm tra vật phẩm và Credit</t>
  </si>
  <si>
    <t>TỶ LỆ ĐÚNG CỘNG DỒN SAU TRAP I (công thức 1)</t>
  </si>
  <si>
    <t>ARENA 3 — THE CROSSROADS · 10 câu, 2 câu mỗi cụm</t>
  </si>
  <si>
    <t>Kiểm tra duy trì và bổ sung dữ liệu chẩn đoán cho cả 5 cụm. Tối đa 1 vật phẩm.</t>
  </si>
  <si>
    <t>TỶ LỆ ĐÚNG CỘNG DỒN SAU CROSSROADS (công thức 1)</t>
  </si>
  <si>
    <t>Khoá loại W1</t>
  </si>
  <si>
    <t>W2 — cụm yếu nhất sau Crossroads, không trùng W1</t>
  </si>
  <si>
    <t>Cột "Khoá loại W1" gán 9 cho W1 để nó không thể là giá trị nhỏ nhất.</t>
  </si>
  <si>
    <t>TRAP II — 10 câu của cụm yếu nhì (W2)</t>
  </si>
  <si>
    <t>Bắt buộc nhắm cụm khác Trap I. Tối đa 1 vật phẩm.</t>
  </si>
  <si>
    <t>TỶ LỆ ĐÚNG CỘNG DỒN SAU TRAP II (công thức 1)</t>
  </si>
  <si>
    <t>XẾP HẠNG CỤM SAU TRAP II → PHÂN BỔ BOSS 7 / 5 / 3</t>
  </si>
  <si>
    <t>Tỷ lệ cộng dồn</t>
  </si>
  <si>
    <t>Khoá xếp hạng</t>
  </si>
  <si>
    <t>Hạng</t>
  </si>
  <si>
    <t>Số câu ở Boss</t>
  </si>
  <si>
    <t>Căn cứ</t>
  </si>
  <si>
    <t>Tổng</t>
  </si>
  <si>
    <t>Phải bằng 15 — số câu của Boss.</t>
  </si>
  <si>
    <t>Khoá xếp hạng = tỷ lệ + một lượng rất nhỏ theo thứ tự mã cụm, để hai cụm bằng nhau vẫn ra thứ hạng xác định (C1 trước C2...). Không dùng random.</t>
  </si>
  <si>
    <t>Ba cụm vào Boss</t>
  </si>
  <si>
    <t>W1 Boss — 7 câu</t>
  </si>
  <si>
    <t>W2 Boss — 5 câu</t>
  </si>
  <si>
    <t>W3 Boss — 3 câu</t>
  </si>
  <si>
    <t>ARENA 5 — BOSS · 15 câu cho ba cụm yếu nhất (7 / 5 / 3)</t>
  </si>
  <si>
    <t>Luật: Boss KHÔNG được dùng vật phẩm. Đây là dữ liệu sạch để so với mốc chẩn đoán.</t>
  </si>
  <si>
    <t>Phân bổ:</t>
  </si>
  <si>
    <t>Thứ mấy trong cụm</t>
  </si>
  <si>
    <t>Đã cộng thưởng vượt Boss lần đầu.</t>
  </si>
  <si>
    <t>O4 — BẢNG TỔNG KẾT SAU BOSS</t>
  </si>
  <si>
    <t>Ô "--" nghĩa là Arena đó không hỏi cụm, không phải sai hết. Mọi tỷ lệ ở bảng này loại câu dùng vật phẩm (công thức 1).</t>
  </si>
  <si>
    <t>TRẠNG THÁI LƯỢT CHƠI</t>
  </si>
  <si>
    <t>performance_score toàn lượt</t>
  </si>
  <si>
    <t>Σ điểm độ khó của câu ĐÚNG và KHÔNG dùng vật phẩm ÷ Σ điểm độ khó của TOÀN BỘ câu đã hỏi.</t>
  </si>
  <si>
    <t>Credit cuối lượt</t>
  </si>
  <si>
    <t>Đã gồm thưởng vượt Boss lần đầu và đã trừ chi phí vật phẩm.</t>
  </si>
  <si>
    <t>Credit đã tiêu cho vật phẩm</t>
  </si>
  <si>
    <t>Cộng chi phí vật phẩm của Trap I, Crossroads, Trap II. Arena 1 và Boss cấm vật phẩm.</t>
  </si>
  <si>
    <t>Arena 1</t>
  </si>
  <si>
    <t>Trap I</t>
  </si>
  <si>
    <t>Crossroads</t>
  </si>
  <si>
    <t>Trap II</t>
  </si>
  <si>
    <t>Boss</t>
  </si>
  <si>
    <t>Mốc chẩn đoán</t>
  </si>
  <si>
    <t>Tỷ lệ đúng ở Boss</t>
  </si>
  <si>
    <t>Mức thay đổi</t>
  </si>
  <si>
    <t>Kết luận</t>
  </si>
  <si>
    <t>Mốc chẩn đoán = Arena 1 + Crossroads, cộng tử với tử, mẫu với mẫu. Không gồm Trap vì Trap chỉ nhắm 2 trong 5 cụm.</t>
  </si>
  <si>
    <t>Mức thay đổi = tỷ lệ đúng ở Boss − mốc chẩn đoán. Engine tính để chạy điều kiện 2 và 3; không hiển thị cho người chơi.</t>
  </si>
  <si>
    <t>BỐN ĐIỀU KIỆN CHẠY THEO THỨ TỰ</t>
  </si>
  <si>
    <t>#</t>
  </si>
  <si>
    <t>Điều kiện</t>
  </si>
  <si>
    <t>Cụm không được hỏi ở Boss</t>
  </si>
  <si>
    <t>Không kiểm tra lại ở Boss</t>
  </si>
  <si>
    <t>Boss ≥ ngưỡng và mức thay đổi ≥ 0</t>
  </si>
  <si>
    <t>Đã cải thiện</t>
  </si>
  <si>
    <t>Boss &lt; ngưỡng và mức thay đổi &gt; 0</t>
  </si>
  <si>
    <t>Đã cải thiện nhưng chưa đủ</t>
  </si>
  <si>
    <t>Các trường hợp còn lại</t>
  </si>
  <si>
    <t>Cần cải thiện tiếp</t>
  </si>
  <si>
    <t xml:space="preserve">CFA QUEST </t>
  </si>
  <si>
    <t xml:space="preserve">ARENA 1 — THE GATE </t>
  </si>
  <si>
    <t>Nút reset dùng để xoá toàn bộ dữ liệu đã nhập tay để tạo ra 1 lượt chơi mới.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</si>
</sst>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\+0.0%;\-0.0%;0.0%"/>
  </numFmts>
  <fonts count="16" x14ac:knownFonts="1">
    <font>
      <sz val="11"/>
      <color theme="1"/>
      <name val="Calibri"/>
      <family val="2"/>
      <charset val="1"/>
    </font>
    <font>
      <b/>
      <sz val="14"/>
      <color rgb="FF1F3864"/>
      <name val="Arial"/>
      <family val="2"/>
    </font>
    <font>
      <i/>
      <sz val="9"/>
      <color rgb="FF595959"/>
      <name val="Arial"/>
      <family val="2"/>
    </font>
    <font>
      <b/>
      <sz val="11"/>
      <color rgb="FF1F3864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00FF"/>
      <name val="Arial"/>
      <family val="2"/>
    </font>
    <font>
      <sz val="10"/>
      <color rgb="FF808080"/>
      <name val="Arial"/>
      <family val="2"/>
    </font>
    <font>
      <b/>
      <sz val="10"/>
      <color rgb="FFFFFFFF"/>
      <name val="Arial"/>
      <family val="2"/>
    </font>
    <font>
      <b/>
      <sz val="11"/>
      <color rgb="FF000000"/>
      <name val="Arial"/>
      <family val="2"/>
    </font>
    <font>
      <b/>
      <sz val="10"/>
      <color rgb="FFC00000"/>
      <name val="Arial"/>
      <family val="2"/>
    </font>
    <font>
      <b/>
      <sz val="12"/>
      <color rgb="FF1F3864"/>
      <name val="Arial"/>
      <family val="2"/>
    </font>
    <font>
      <b/>
      <sz val="11"/>
      <color rgb="FFC00000"/>
      <name val="Arial"/>
      <family val="2"/>
    </font>
    <font>
      <b/>
      <sz val="10"/>
      <color rgb="FF1F3864"/>
      <name val="Arial"/>
      <family val="2"/>
    </font>
    <font>
      <i/>
      <sz val="11"/>
      <name val="Arial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DDEBF7"/>
        <bgColor rgb="FFF2F2F2"/>
      </patternFill>
    </fill>
    <fill>
      <patternFill patternType="solid">
        <fgColor rgb="FFFFF2CC"/>
        <bgColor rgb="FFF2F2F2"/>
      </patternFill>
    </fill>
    <fill>
      <patternFill patternType="solid">
        <fgColor rgb="FFF2F2F2"/>
        <bgColor rgb="FFF7F9FC"/>
      </patternFill>
    </fill>
    <fill>
      <patternFill patternType="solid">
        <fgColor rgb="FF1F3864"/>
        <bgColor rgb="FF333333"/>
      </patternFill>
    </fill>
    <fill>
      <patternFill patternType="solid">
        <fgColor rgb="FFF7F9FC"/>
        <bgColor rgb="FFFFFFFF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horizontal="left" vertical="top" wrapText="1"/>
    </xf>
    <xf numFmtId="0" fontId="6" fillId="2" borderId="0" xfId="0" applyFont="1" applyFill="1"/>
    <xf numFmtId="0" fontId="5" fillId="0" borderId="0" xfId="0" applyFont="1"/>
    <xf numFmtId="0" fontId="5" fillId="3" borderId="0" xfId="0" applyFont="1" applyFill="1"/>
    <xf numFmtId="0" fontId="7" fillId="4" borderId="0" xfId="0" applyFont="1" applyFill="1"/>
    <xf numFmtId="164" fontId="6" fillId="2" borderId="0" xfId="0" applyNumberFormat="1" applyFont="1" applyFill="1"/>
    <xf numFmtId="1" fontId="6" fillId="2" borderId="0" xfId="0" applyNumberFormat="1" applyFont="1" applyFill="1"/>
    <xf numFmtId="0" fontId="8" fillId="5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164" fontId="5" fillId="3" borderId="0" xfId="0" applyNumberFormat="1" applyFont="1" applyFill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0" fillId="0" borderId="0" xfId="0" applyFont="1"/>
    <xf numFmtId="0" fontId="4" fillId="0" borderId="1" xfId="0" applyFont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9" fillId="0" borderId="0" xfId="0" applyFont="1"/>
    <xf numFmtId="0" fontId="12" fillId="0" borderId="0" xfId="0" applyFont="1"/>
    <xf numFmtId="164" fontId="7" fillId="0" borderId="1" xfId="0" applyNumberFormat="1" applyFont="1" applyBorder="1" applyAlignment="1">
      <alignment horizontal="center" vertical="center"/>
    </xf>
    <xf numFmtId="10" fontId="7" fillId="0" borderId="1" xfId="0" applyNumberFormat="1" applyFont="1" applyBorder="1" applyAlignment="1">
      <alignment horizontal="center" vertical="center"/>
    </xf>
    <xf numFmtId="0" fontId="2" fillId="0" borderId="1" xfId="0" applyFont="1" applyBorder="1"/>
    <xf numFmtId="0" fontId="4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3" fillId="3" borderId="0" xfId="0" applyFont="1" applyFill="1"/>
    <xf numFmtId="0" fontId="8" fillId="5" borderId="0" xfId="0" applyFont="1" applyFill="1" applyAlignment="1">
      <alignment horizontal="center" vertical="center"/>
    </xf>
    <xf numFmtId="0" fontId="7" fillId="0" borderId="0" xfId="0" applyFont="1"/>
    <xf numFmtId="0" fontId="12" fillId="3" borderId="0" xfId="0" applyFont="1" applyFill="1"/>
    <xf numFmtId="164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64" fontId="5" fillId="3" borderId="1" xfId="0" applyNumberFormat="1" applyFont="1" applyFill="1" applyBorder="1" applyAlignment="1">
      <alignment horizontal="center" vertical="center"/>
    </xf>
    <xf numFmtId="165" fontId="5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5" fillId="7" borderId="0" xfId="0" applyFont="1" applyFill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0" fontId="1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2CC"/>
      <rgbColor rgb="FFDD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F7F9F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595959"/>
      <rgbColor rgb="FF969696"/>
      <rgbColor rgb="FF1F3864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1714500</xdr:colOff>
          <xdr:row>0</xdr:row>
          <xdr:rowOff>121920</xdr:rowOff>
        </xdr:from>
        <xdr:to>
          <xdr:col>8</xdr:col>
          <xdr:colOff>137160</xdr:colOff>
          <xdr:row>2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46"/>
  <sheetViews>
    <sheetView tabSelected="1" zoomScaleNormal="100" workbookViewId="0">
      <selection activeCell="C16" sqref="C16"/>
    </sheetView>
  </sheetViews>
  <sheetFormatPr defaultColWidth="8.6640625" defaultRowHeight="14.4" x14ac:dyDescent="0.3"/>
  <cols>
    <col min="1" max="1" width="26" customWidth="1"/>
    <col min="2" max="2" width="92" customWidth="1"/>
    <col min="3" max="3" width="70" customWidth="1"/>
  </cols>
  <sheetData>
    <row r="1" spans="1:2" ht="17.25" customHeight="1" x14ac:dyDescent="0.3">
      <c r="A1" s="1" t="s">
        <v>297</v>
      </c>
    </row>
    <row r="2" spans="1:2" ht="15" customHeight="1" x14ac:dyDescent="0.3">
      <c r="A2" s="49" t="s">
        <v>0</v>
      </c>
    </row>
    <row r="3" spans="1:2" ht="15" customHeight="1" x14ac:dyDescent="0.3">
      <c r="A3" s="49" t="s">
        <v>1</v>
      </c>
    </row>
    <row r="4" spans="1:2" ht="15" customHeight="1" x14ac:dyDescent="0.3">
      <c r="A4" s="49" t="s">
        <v>299</v>
      </c>
    </row>
    <row r="6" spans="1:2" ht="15" customHeight="1" x14ac:dyDescent="0.3">
      <c r="A6" s="3" t="s">
        <v>2</v>
      </c>
    </row>
    <row r="7" spans="1:2" ht="23.25" customHeight="1" x14ac:dyDescent="0.3">
      <c r="A7" s="4" t="s">
        <v>3</v>
      </c>
      <c r="B7" s="5" t="s">
        <v>4</v>
      </c>
    </row>
    <row r="8" spans="1:2" ht="15" customHeight="1" x14ac:dyDescent="0.3">
      <c r="A8" s="4" t="s">
        <v>5</v>
      </c>
      <c r="B8" s="5" t="s">
        <v>6</v>
      </c>
    </row>
    <row r="9" spans="1:2" ht="15" customHeight="1" x14ac:dyDescent="0.3">
      <c r="A9" s="4" t="s">
        <v>7</v>
      </c>
      <c r="B9" s="5" t="s">
        <v>8</v>
      </c>
    </row>
    <row r="10" spans="1:2" ht="15" customHeight="1" x14ac:dyDescent="0.3">
      <c r="A10" s="4" t="s">
        <v>9</v>
      </c>
      <c r="B10" s="5" t="s">
        <v>10</v>
      </c>
    </row>
    <row r="11" spans="1:2" ht="15" customHeight="1" x14ac:dyDescent="0.3">
      <c r="A11" s="4" t="s">
        <v>11</v>
      </c>
      <c r="B11" s="5" t="s">
        <v>12</v>
      </c>
    </row>
    <row r="12" spans="1:2" x14ac:dyDescent="0.3">
      <c r="A12" s="4" t="s">
        <v>13</v>
      </c>
      <c r="B12" s="5" t="s">
        <v>14</v>
      </c>
    </row>
    <row r="13" spans="1:2" ht="33.6" customHeight="1" x14ac:dyDescent="0.3">
      <c r="A13" s="4" t="s">
        <v>15</v>
      </c>
      <c r="B13" s="5" t="s">
        <v>16</v>
      </c>
    </row>
    <row r="15" spans="1:2" ht="15" customHeight="1" x14ac:dyDescent="0.3">
      <c r="A15" s="3" t="s">
        <v>17</v>
      </c>
    </row>
    <row r="16" spans="1:2" ht="15" customHeight="1" x14ac:dyDescent="0.3">
      <c r="A16" s="6" t="s">
        <v>18</v>
      </c>
      <c r="B16" s="5" t="s">
        <v>19</v>
      </c>
    </row>
    <row r="17" spans="1:3" ht="15" customHeight="1" x14ac:dyDescent="0.3">
      <c r="A17" s="7" t="s">
        <v>20</v>
      </c>
      <c r="B17" s="5" t="s">
        <v>21</v>
      </c>
    </row>
    <row r="18" spans="1:3" ht="15" customHeight="1" x14ac:dyDescent="0.3">
      <c r="A18" s="8" t="s">
        <v>22</v>
      </c>
      <c r="B18" s="5" t="s">
        <v>23</v>
      </c>
    </row>
    <row r="19" spans="1:3" ht="15" customHeight="1" x14ac:dyDescent="0.3">
      <c r="A19" s="9" t="s">
        <v>24</v>
      </c>
      <c r="B19" s="5" t="s">
        <v>25</v>
      </c>
    </row>
    <row r="21" spans="1:3" ht="15" customHeight="1" x14ac:dyDescent="0.3">
      <c r="A21" s="3" t="s">
        <v>26</v>
      </c>
    </row>
    <row r="22" spans="1:3" ht="15" customHeight="1" x14ac:dyDescent="0.3">
      <c r="A22" s="4" t="s">
        <v>27</v>
      </c>
      <c r="B22" s="10">
        <v>0.7</v>
      </c>
      <c r="C22" s="2" t="s">
        <v>28</v>
      </c>
    </row>
    <row r="23" spans="1:3" ht="15" customHeight="1" x14ac:dyDescent="0.3">
      <c r="A23" s="4" t="s">
        <v>29</v>
      </c>
      <c r="B23" s="11">
        <v>3</v>
      </c>
      <c r="C23" s="2" t="s">
        <v>30</v>
      </c>
    </row>
    <row r="24" spans="1:3" ht="15" customHeight="1" x14ac:dyDescent="0.3">
      <c r="A24" s="4" t="s">
        <v>31</v>
      </c>
      <c r="B24" s="11">
        <v>5</v>
      </c>
      <c r="C24" s="2" t="s">
        <v>30</v>
      </c>
    </row>
    <row r="25" spans="1:3" ht="15" customHeight="1" x14ac:dyDescent="0.3">
      <c r="A25" s="4" t="s">
        <v>32</v>
      </c>
      <c r="B25" s="10">
        <v>0.7</v>
      </c>
      <c r="C25" s="2" t="s">
        <v>33</v>
      </c>
    </row>
    <row r="26" spans="1:3" x14ac:dyDescent="0.3">
      <c r="A26" s="4" t="s">
        <v>34</v>
      </c>
      <c r="B26" s="6">
        <v>3</v>
      </c>
      <c r="C26" s="2" t="s">
        <v>35</v>
      </c>
    </row>
    <row r="27" spans="1:3" ht="15" customHeight="1" x14ac:dyDescent="0.3"/>
    <row r="28" spans="1:3" ht="15" customHeight="1" x14ac:dyDescent="0.3">
      <c r="A28" s="3" t="s">
        <v>36</v>
      </c>
    </row>
    <row r="29" spans="1:3" ht="15" customHeight="1" x14ac:dyDescent="0.3">
      <c r="A29" s="7" t="s">
        <v>37</v>
      </c>
      <c r="B29" s="5" t="s">
        <v>38</v>
      </c>
    </row>
    <row r="30" spans="1:3" ht="15" customHeight="1" x14ac:dyDescent="0.3">
      <c r="A30" s="7" t="s">
        <v>37</v>
      </c>
      <c r="B30" s="5" t="s">
        <v>39</v>
      </c>
    </row>
    <row r="31" spans="1:3" ht="15" customHeight="1" x14ac:dyDescent="0.3">
      <c r="A31" s="7" t="s">
        <v>37</v>
      </c>
      <c r="B31" s="5" t="s">
        <v>40</v>
      </c>
    </row>
    <row r="32" spans="1:3" ht="15" customHeight="1" x14ac:dyDescent="0.3">
      <c r="A32" s="7" t="s">
        <v>37</v>
      </c>
      <c r="B32" s="5" t="s">
        <v>41</v>
      </c>
    </row>
    <row r="33" spans="1:2" ht="15" customHeight="1" x14ac:dyDescent="0.3">
      <c r="A33" s="7" t="s">
        <v>37</v>
      </c>
      <c r="B33" s="5" t="s">
        <v>42</v>
      </c>
    </row>
    <row r="34" spans="1:2" x14ac:dyDescent="0.3">
      <c r="A34" s="7" t="s">
        <v>37</v>
      </c>
      <c r="B34" s="5" t="s">
        <v>43</v>
      </c>
    </row>
    <row r="35" spans="1:2" ht="15" customHeight="1" x14ac:dyDescent="0.3"/>
    <row r="36" spans="1:2" ht="25.5" customHeight="1" x14ac:dyDescent="0.3">
      <c r="A36" s="3"/>
    </row>
    <row r="37" spans="1:2" ht="25.5" customHeight="1" x14ac:dyDescent="0.3">
      <c r="A37" s="7"/>
      <c r="B37" s="5"/>
    </row>
    <row r="38" spans="1:2" ht="25.5" customHeight="1" x14ac:dyDescent="0.3">
      <c r="A38" s="7"/>
      <c r="B38" s="5"/>
    </row>
    <row r="39" spans="1:2" ht="25.5" customHeight="1" x14ac:dyDescent="0.3">
      <c r="A39" s="7"/>
      <c r="B39" s="5"/>
    </row>
    <row r="40" spans="1:2" ht="25.5" customHeight="1" x14ac:dyDescent="0.3">
      <c r="A40" s="7"/>
      <c r="B40" s="5"/>
    </row>
    <row r="41" spans="1:2" ht="25.5" customHeight="1" x14ac:dyDescent="0.3">
      <c r="A41" s="7"/>
      <c r="B41" s="5"/>
    </row>
    <row r="42" spans="1:2" ht="25.5" customHeight="1" x14ac:dyDescent="0.3">
      <c r="A42" s="7"/>
      <c r="B42" s="5"/>
    </row>
    <row r="43" spans="1:2" x14ac:dyDescent="0.3">
      <c r="A43" s="7"/>
      <c r="B43" s="5"/>
    </row>
    <row r="44" spans="1:2" ht="15" customHeight="1" x14ac:dyDescent="0.3"/>
    <row r="45" spans="1:2" ht="42" customHeight="1" x14ac:dyDescent="0.3">
      <c r="A45" s="3"/>
    </row>
    <row r="46" spans="1:2" x14ac:dyDescent="0.3">
      <c r="B46" s="5"/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14"/>
  <sheetViews>
    <sheetView zoomScaleNormal="100" workbookViewId="0">
      <pane ySplit="4" topLeftCell="A5" activePane="bottomLeft" state="frozen"/>
      <selection pane="bottomLeft" activeCell="L20" sqref="L20"/>
    </sheetView>
  </sheetViews>
  <sheetFormatPr defaultColWidth="8.6640625" defaultRowHeight="14.4" x14ac:dyDescent="0.3"/>
  <cols>
    <col min="1" max="1" width="6" customWidth="1"/>
    <col min="2" max="2" width="22" customWidth="1"/>
    <col min="3" max="3" width="8" customWidth="1"/>
    <col min="4" max="4" width="10" customWidth="1"/>
    <col min="5" max="5" width="26" customWidth="1"/>
    <col min="6" max="6" width="9" customWidth="1"/>
    <col min="7" max="7" width="12" customWidth="1"/>
    <col min="8" max="8" width="14" customWidth="1"/>
    <col min="10" max="10" width="18" customWidth="1"/>
    <col min="11" max="11" width="8" customWidth="1"/>
  </cols>
  <sheetData>
    <row r="1" spans="1:11" ht="17.25" customHeight="1" x14ac:dyDescent="0.3">
      <c r="A1" s="1" t="s">
        <v>44</v>
      </c>
    </row>
    <row r="2" spans="1:11" ht="15" customHeight="1" x14ac:dyDescent="0.3">
      <c r="A2" s="2" t="s">
        <v>45</v>
      </c>
    </row>
    <row r="4" spans="1:11" ht="15" customHeight="1" x14ac:dyDescent="0.3">
      <c r="A4" s="12" t="s">
        <v>46</v>
      </c>
      <c r="B4" s="12" t="s">
        <v>47</v>
      </c>
      <c r="C4" s="12" t="s">
        <v>48</v>
      </c>
      <c r="D4" s="12" t="s">
        <v>49</v>
      </c>
      <c r="E4" s="12" t="s">
        <v>50</v>
      </c>
      <c r="F4" s="12" t="s">
        <v>51</v>
      </c>
      <c r="G4" s="12" t="s">
        <v>52</v>
      </c>
      <c r="H4" s="12" t="s">
        <v>53</v>
      </c>
      <c r="J4" s="4" t="s">
        <v>54</v>
      </c>
    </row>
    <row r="5" spans="1:11" ht="15" customHeight="1" x14ac:dyDescent="0.3">
      <c r="A5" s="13">
        <v>1</v>
      </c>
      <c r="B5" s="14" t="s">
        <v>55</v>
      </c>
      <c r="C5" s="13" t="s">
        <v>56</v>
      </c>
      <c r="D5" s="14" t="s">
        <v>57</v>
      </c>
      <c r="E5" s="14" t="s">
        <v>58</v>
      </c>
      <c r="F5" s="13">
        <v>1</v>
      </c>
      <c r="G5" s="13">
        <v>1</v>
      </c>
      <c r="H5" s="15" t="str">
        <f t="shared" ref="H5:H36" si="0">C5&amp;"-"&amp;G5</f>
        <v>C1-1</v>
      </c>
      <c r="J5" s="7" t="s">
        <v>56</v>
      </c>
      <c r="K5" s="16">
        <f>COUNTIF($C$5:$C$114,J5)</f>
        <v>22</v>
      </c>
    </row>
    <row r="6" spans="1:11" ht="15" customHeight="1" x14ac:dyDescent="0.3">
      <c r="A6" s="13">
        <v>2</v>
      </c>
      <c r="B6" s="14" t="s">
        <v>59</v>
      </c>
      <c r="C6" s="13" t="s">
        <v>56</v>
      </c>
      <c r="D6" s="14" t="s">
        <v>60</v>
      </c>
      <c r="E6" s="14" t="s">
        <v>61</v>
      </c>
      <c r="F6" s="13">
        <v>2</v>
      </c>
      <c r="G6" s="13">
        <v>2</v>
      </c>
      <c r="H6" s="15" t="str">
        <f t="shared" si="0"/>
        <v>C1-2</v>
      </c>
      <c r="J6" s="7" t="s">
        <v>62</v>
      </c>
      <c r="K6" s="16">
        <f>COUNTIF($C$5:$C$114,J6)</f>
        <v>22</v>
      </c>
    </row>
    <row r="7" spans="1:11" ht="15" customHeight="1" x14ac:dyDescent="0.3">
      <c r="A7" s="13">
        <v>3</v>
      </c>
      <c r="B7" s="14" t="s">
        <v>63</v>
      </c>
      <c r="C7" s="13" t="s">
        <v>56</v>
      </c>
      <c r="D7" s="14" t="s">
        <v>57</v>
      </c>
      <c r="E7" s="14" t="s">
        <v>58</v>
      </c>
      <c r="F7" s="13">
        <v>3</v>
      </c>
      <c r="G7" s="13">
        <v>3</v>
      </c>
      <c r="H7" s="15" t="str">
        <f t="shared" si="0"/>
        <v>C1-3</v>
      </c>
      <c r="J7" s="7" t="s">
        <v>64</v>
      </c>
      <c r="K7" s="16">
        <f>COUNTIF($C$5:$C$114,J7)</f>
        <v>22</v>
      </c>
    </row>
    <row r="8" spans="1:11" ht="15" customHeight="1" x14ac:dyDescent="0.3">
      <c r="A8" s="13">
        <v>4</v>
      </c>
      <c r="B8" s="14" t="s">
        <v>65</v>
      </c>
      <c r="C8" s="13" t="s">
        <v>56</v>
      </c>
      <c r="D8" s="14" t="s">
        <v>60</v>
      </c>
      <c r="E8" s="14" t="s">
        <v>61</v>
      </c>
      <c r="F8" s="13">
        <v>2</v>
      </c>
      <c r="G8" s="13">
        <v>4</v>
      </c>
      <c r="H8" s="15" t="str">
        <f t="shared" si="0"/>
        <v>C1-4</v>
      </c>
      <c r="J8" s="7" t="s">
        <v>66</v>
      </c>
      <c r="K8" s="16">
        <f>COUNTIF($C$5:$C$114,J8)</f>
        <v>22</v>
      </c>
    </row>
    <row r="9" spans="1:11" ht="15" customHeight="1" x14ac:dyDescent="0.3">
      <c r="A9" s="13">
        <v>5</v>
      </c>
      <c r="B9" s="14" t="s">
        <v>67</v>
      </c>
      <c r="C9" s="13" t="s">
        <v>56</v>
      </c>
      <c r="D9" s="14" t="s">
        <v>57</v>
      </c>
      <c r="E9" s="14" t="s">
        <v>68</v>
      </c>
      <c r="F9" s="13">
        <v>3</v>
      </c>
      <c r="G9" s="13">
        <v>5</v>
      </c>
      <c r="H9" s="15" t="str">
        <f t="shared" si="0"/>
        <v>C1-5</v>
      </c>
      <c r="J9" s="7" t="s">
        <v>69</v>
      </c>
      <c r="K9" s="16">
        <f>COUNTIF($C$5:$C$114,J9)</f>
        <v>22</v>
      </c>
    </row>
    <row r="10" spans="1:11" ht="15" customHeight="1" x14ac:dyDescent="0.3">
      <c r="A10" s="13">
        <v>6</v>
      </c>
      <c r="B10" s="14" t="s">
        <v>70</v>
      </c>
      <c r="C10" s="13" t="s">
        <v>56</v>
      </c>
      <c r="D10" s="14" t="s">
        <v>57</v>
      </c>
      <c r="E10" s="14" t="s">
        <v>71</v>
      </c>
      <c r="F10" s="13">
        <v>3</v>
      </c>
      <c r="G10" s="13">
        <v>6</v>
      </c>
      <c r="H10" s="15" t="str">
        <f t="shared" si="0"/>
        <v>C1-6</v>
      </c>
      <c r="J10" s="2"/>
    </row>
    <row r="11" spans="1:11" ht="15" customHeight="1" x14ac:dyDescent="0.3">
      <c r="A11" s="13">
        <v>7</v>
      </c>
      <c r="B11" s="14" t="s">
        <v>72</v>
      </c>
      <c r="C11" s="13" t="s">
        <v>56</v>
      </c>
      <c r="D11" s="14" t="s">
        <v>60</v>
      </c>
      <c r="E11" s="14" t="s">
        <v>61</v>
      </c>
      <c r="F11" s="13">
        <v>3</v>
      </c>
      <c r="G11" s="13">
        <v>7</v>
      </c>
      <c r="H11" s="15" t="str">
        <f t="shared" si="0"/>
        <v>C1-7</v>
      </c>
    </row>
    <row r="12" spans="1:11" ht="15" customHeight="1" x14ac:dyDescent="0.3">
      <c r="A12" s="13">
        <v>8</v>
      </c>
      <c r="B12" s="14" t="s">
        <v>73</v>
      </c>
      <c r="C12" s="13" t="s">
        <v>56</v>
      </c>
      <c r="D12" s="14" t="s">
        <v>60</v>
      </c>
      <c r="E12" s="14" t="s">
        <v>74</v>
      </c>
      <c r="F12" s="13">
        <v>2</v>
      </c>
      <c r="G12" s="13">
        <v>8</v>
      </c>
      <c r="H12" s="15" t="str">
        <f t="shared" si="0"/>
        <v>C1-8</v>
      </c>
    </row>
    <row r="13" spans="1:11" ht="15" customHeight="1" x14ac:dyDescent="0.3">
      <c r="A13" s="13">
        <v>9</v>
      </c>
      <c r="B13" s="14" t="s">
        <v>75</v>
      </c>
      <c r="C13" s="13" t="s">
        <v>56</v>
      </c>
      <c r="D13" s="14" t="s">
        <v>57</v>
      </c>
      <c r="E13" s="14" t="s">
        <v>68</v>
      </c>
      <c r="F13" s="13">
        <v>1</v>
      </c>
      <c r="G13" s="13">
        <v>9</v>
      </c>
      <c r="H13" s="15" t="str">
        <f t="shared" si="0"/>
        <v>C1-9</v>
      </c>
    </row>
    <row r="14" spans="1:11" ht="15" customHeight="1" x14ac:dyDescent="0.3">
      <c r="A14" s="13">
        <v>10</v>
      </c>
      <c r="B14" s="14" t="s">
        <v>76</v>
      </c>
      <c r="C14" s="13" t="s">
        <v>56</v>
      </c>
      <c r="D14" s="14" t="s">
        <v>57</v>
      </c>
      <c r="E14" s="14" t="s">
        <v>71</v>
      </c>
      <c r="F14" s="13">
        <v>1</v>
      </c>
      <c r="G14" s="13">
        <v>10</v>
      </c>
      <c r="H14" s="15" t="str">
        <f t="shared" si="0"/>
        <v>C1-10</v>
      </c>
    </row>
    <row r="15" spans="1:11" ht="15" customHeight="1" x14ac:dyDescent="0.3">
      <c r="A15" s="13">
        <v>11</v>
      </c>
      <c r="B15" s="14" t="s">
        <v>77</v>
      </c>
      <c r="C15" s="13" t="s">
        <v>56</v>
      </c>
      <c r="D15" s="14" t="s">
        <v>60</v>
      </c>
      <c r="E15" s="14" t="s">
        <v>61</v>
      </c>
      <c r="F15" s="13">
        <v>1</v>
      </c>
      <c r="G15" s="13">
        <v>11</v>
      </c>
      <c r="H15" s="15" t="str">
        <f t="shared" si="0"/>
        <v>C1-11</v>
      </c>
    </row>
    <row r="16" spans="1:11" ht="15" customHeight="1" x14ac:dyDescent="0.3">
      <c r="A16" s="17">
        <v>12</v>
      </c>
      <c r="B16" s="18" t="s">
        <v>78</v>
      </c>
      <c r="C16" s="17" t="s">
        <v>56</v>
      </c>
      <c r="D16" s="18" t="s">
        <v>60</v>
      </c>
      <c r="E16" s="18" t="s">
        <v>61</v>
      </c>
      <c r="F16" s="17">
        <v>1</v>
      </c>
      <c r="G16" s="17">
        <v>12</v>
      </c>
      <c r="H16" s="19" t="str">
        <f t="shared" si="0"/>
        <v>C1-12</v>
      </c>
    </row>
    <row r="17" spans="1:8" ht="15" customHeight="1" x14ac:dyDescent="0.3">
      <c r="A17" s="17">
        <v>13</v>
      </c>
      <c r="B17" s="18" t="s">
        <v>79</v>
      </c>
      <c r="C17" s="17" t="s">
        <v>56</v>
      </c>
      <c r="D17" s="18" t="s">
        <v>60</v>
      </c>
      <c r="E17" s="18" t="s">
        <v>61</v>
      </c>
      <c r="F17" s="17">
        <v>1</v>
      </c>
      <c r="G17" s="17">
        <v>13</v>
      </c>
      <c r="H17" s="19" t="str">
        <f t="shared" si="0"/>
        <v>C1-13</v>
      </c>
    </row>
    <row r="18" spans="1:8" ht="15" customHeight="1" x14ac:dyDescent="0.3">
      <c r="A18" s="17">
        <v>14</v>
      </c>
      <c r="B18" s="18" t="s">
        <v>80</v>
      </c>
      <c r="C18" s="17" t="s">
        <v>56</v>
      </c>
      <c r="D18" s="18" t="s">
        <v>60</v>
      </c>
      <c r="E18" s="18" t="s">
        <v>74</v>
      </c>
      <c r="F18" s="17">
        <v>1</v>
      </c>
      <c r="G18" s="17">
        <v>14</v>
      </c>
      <c r="H18" s="19" t="str">
        <f t="shared" si="0"/>
        <v>C1-14</v>
      </c>
    </row>
    <row r="19" spans="1:8" ht="15" customHeight="1" x14ac:dyDescent="0.3">
      <c r="A19" s="17">
        <v>15</v>
      </c>
      <c r="B19" s="18" t="s">
        <v>81</v>
      </c>
      <c r="C19" s="17" t="s">
        <v>56</v>
      </c>
      <c r="D19" s="18" t="s">
        <v>60</v>
      </c>
      <c r="E19" s="18" t="s">
        <v>74</v>
      </c>
      <c r="F19" s="17">
        <v>2</v>
      </c>
      <c r="G19" s="17">
        <v>15</v>
      </c>
      <c r="H19" s="19" t="str">
        <f t="shared" si="0"/>
        <v>C1-15</v>
      </c>
    </row>
    <row r="20" spans="1:8" ht="15" customHeight="1" x14ac:dyDescent="0.3">
      <c r="A20" s="17">
        <v>16</v>
      </c>
      <c r="B20" s="18" t="s">
        <v>82</v>
      </c>
      <c r="C20" s="17" t="s">
        <v>56</v>
      </c>
      <c r="D20" s="18" t="s">
        <v>60</v>
      </c>
      <c r="E20" s="18" t="s">
        <v>61</v>
      </c>
      <c r="F20" s="17">
        <v>3</v>
      </c>
      <c r="G20" s="17">
        <v>16</v>
      </c>
      <c r="H20" s="19" t="str">
        <f t="shared" si="0"/>
        <v>C1-16</v>
      </c>
    </row>
    <row r="21" spans="1:8" ht="15" customHeight="1" x14ac:dyDescent="0.3">
      <c r="A21" s="17">
        <v>17</v>
      </c>
      <c r="B21" s="18" t="s">
        <v>83</v>
      </c>
      <c r="C21" s="17" t="s">
        <v>56</v>
      </c>
      <c r="D21" s="18" t="s">
        <v>60</v>
      </c>
      <c r="E21" s="18" t="s">
        <v>74</v>
      </c>
      <c r="F21" s="17">
        <v>3</v>
      </c>
      <c r="G21" s="17">
        <v>17</v>
      </c>
      <c r="H21" s="19" t="str">
        <f t="shared" si="0"/>
        <v>C1-17</v>
      </c>
    </row>
    <row r="22" spans="1:8" ht="15" customHeight="1" x14ac:dyDescent="0.3">
      <c r="A22" s="17">
        <v>18</v>
      </c>
      <c r="B22" s="18" t="s">
        <v>84</v>
      </c>
      <c r="C22" s="17" t="s">
        <v>56</v>
      </c>
      <c r="D22" s="18" t="s">
        <v>57</v>
      </c>
      <c r="E22" s="18" t="s">
        <v>58</v>
      </c>
      <c r="F22" s="17">
        <v>2</v>
      </c>
      <c r="G22" s="17">
        <v>18</v>
      </c>
      <c r="H22" s="19" t="str">
        <f t="shared" si="0"/>
        <v>C1-18</v>
      </c>
    </row>
    <row r="23" spans="1:8" ht="15" customHeight="1" x14ac:dyDescent="0.3">
      <c r="A23" s="17">
        <v>19</v>
      </c>
      <c r="B23" s="18" t="s">
        <v>85</v>
      </c>
      <c r="C23" s="17" t="s">
        <v>56</v>
      </c>
      <c r="D23" s="18" t="s">
        <v>57</v>
      </c>
      <c r="E23" s="18" t="s">
        <v>68</v>
      </c>
      <c r="F23" s="17">
        <v>2</v>
      </c>
      <c r="G23" s="17">
        <v>19</v>
      </c>
      <c r="H23" s="19" t="str">
        <f t="shared" si="0"/>
        <v>C1-19</v>
      </c>
    </row>
    <row r="24" spans="1:8" ht="15" customHeight="1" x14ac:dyDescent="0.3">
      <c r="A24" s="17">
        <v>20</v>
      </c>
      <c r="B24" s="18" t="s">
        <v>86</v>
      </c>
      <c r="C24" s="17" t="s">
        <v>56</v>
      </c>
      <c r="D24" s="18" t="s">
        <v>57</v>
      </c>
      <c r="E24" s="18" t="s">
        <v>71</v>
      </c>
      <c r="F24" s="17">
        <v>2</v>
      </c>
      <c r="G24" s="17">
        <v>20</v>
      </c>
      <c r="H24" s="19" t="str">
        <f t="shared" si="0"/>
        <v>C1-20</v>
      </c>
    </row>
    <row r="25" spans="1:8" ht="15" customHeight="1" x14ac:dyDescent="0.3">
      <c r="A25" s="17">
        <v>21</v>
      </c>
      <c r="B25" s="18" t="s">
        <v>87</v>
      </c>
      <c r="C25" s="17" t="s">
        <v>56</v>
      </c>
      <c r="D25" s="18" t="s">
        <v>57</v>
      </c>
      <c r="E25" s="18" t="s">
        <v>88</v>
      </c>
      <c r="F25" s="17">
        <v>1</v>
      </c>
      <c r="G25" s="17">
        <v>21</v>
      </c>
      <c r="H25" s="19" t="str">
        <f t="shared" si="0"/>
        <v>C1-21</v>
      </c>
    </row>
    <row r="26" spans="1:8" ht="15" customHeight="1" x14ac:dyDescent="0.3">
      <c r="A26" s="17">
        <v>22</v>
      </c>
      <c r="B26" s="18" t="s">
        <v>89</v>
      </c>
      <c r="C26" s="17" t="s">
        <v>56</v>
      </c>
      <c r="D26" s="18" t="s">
        <v>57</v>
      </c>
      <c r="E26" s="18" t="s">
        <v>88</v>
      </c>
      <c r="F26" s="17">
        <v>2</v>
      </c>
      <c r="G26" s="17">
        <v>22</v>
      </c>
      <c r="H26" s="19" t="str">
        <f t="shared" si="0"/>
        <v>C1-22</v>
      </c>
    </row>
    <row r="27" spans="1:8" ht="15" customHeight="1" x14ac:dyDescent="0.3">
      <c r="A27" s="13">
        <v>23</v>
      </c>
      <c r="B27" s="14" t="s">
        <v>90</v>
      </c>
      <c r="C27" s="13" t="s">
        <v>62</v>
      </c>
      <c r="D27" s="14" t="s">
        <v>91</v>
      </c>
      <c r="E27" s="14" t="s">
        <v>92</v>
      </c>
      <c r="F27" s="13">
        <v>1</v>
      </c>
      <c r="G27" s="13">
        <v>1</v>
      </c>
      <c r="H27" s="15" t="str">
        <f t="shared" si="0"/>
        <v>C2-1</v>
      </c>
    </row>
    <row r="28" spans="1:8" ht="15" customHeight="1" x14ac:dyDescent="0.3">
      <c r="A28" s="13">
        <v>24</v>
      </c>
      <c r="B28" s="14" t="s">
        <v>93</v>
      </c>
      <c r="C28" s="13" t="s">
        <v>62</v>
      </c>
      <c r="D28" s="14" t="s">
        <v>94</v>
      </c>
      <c r="E28" s="14" t="s">
        <v>95</v>
      </c>
      <c r="F28" s="13">
        <v>2</v>
      </c>
      <c r="G28" s="13">
        <v>2</v>
      </c>
      <c r="H28" s="15" t="str">
        <f t="shared" si="0"/>
        <v>C2-2</v>
      </c>
    </row>
    <row r="29" spans="1:8" ht="15" customHeight="1" x14ac:dyDescent="0.3">
      <c r="A29" s="13">
        <v>25</v>
      </c>
      <c r="B29" s="14" t="s">
        <v>96</v>
      </c>
      <c r="C29" s="13" t="s">
        <v>62</v>
      </c>
      <c r="D29" s="14" t="s">
        <v>91</v>
      </c>
      <c r="E29" s="14" t="s">
        <v>92</v>
      </c>
      <c r="F29" s="13">
        <v>3</v>
      </c>
      <c r="G29" s="13">
        <v>3</v>
      </c>
      <c r="H29" s="15" t="str">
        <f t="shared" si="0"/>
        <v>C2-3</v>
      </c>
    </row>
    <row r="30" spans="1:8" ht="15" customHeight="1" x14ac:dyDescent="0.3">
      <c r="A30" s="13">
        <v>26</v>
      </c>
      <c r="B30" s="14" t="s">
        <v>97</v>
      </c>
      <c r="C30" s="13" t="s">
        <v>62</v>
      </c>
      <c r="D30" s="14" t="s">
        <v>91</v>
      </c>
      <c r="E30" s="14" t="s">
        <v>98</v>
      </c>
      <c r="F30" s="13">
        <v>3</v>
      </c>
      <c r="G30" s="13">
        <v>4</v>
      </c>
      <c r="H30" s="15" t="str">
        <f t="shared" si="0"/>
        <v>C2-4</v>
      </c>
    </row>
    <row r="31" spans="1:8" ht="15" customHeight="1" x14ac:dyDescent="0.3">
      <c r="A31" s="13">
        <v>27</v>
      </c>
      <c r="B31" s="14" t="s">
        <v>99</v>
      </c>
      <c r="C31" s="13" t="s">
        <v>62</v>
      </c>
      <c r="D31" s="14" t="s">
        <v>91</v>
      </c>
      <c r="E31" s="14" t="s">
        <v>92</v>
      </c>
      <c r="F31" s="13">
        <v>2</v>
      </c>
      <c r="G31" s="13">
        <v>5</v>
      </c>
      <c r="H31" s="15" t="str">
        <f t="shared" si="0"/>
        <v>C2-5</v>
      </c>
    </row>
    <row r="32" spans="1:8" ht="15" customHeight="1" x14ac:dyDescent="0.3">
      <c r="A32" s="13">
        <v>28</v>
      </c>
      <c r="B32" s="14" t="s">
        <v>100</v>
      </c>
      <c r="C32" s="13" t="s">
        <v>62</v>
      </c>
      <c r="D32" s="14" t="s">
        <v>91</v>
      </c>
      <c r="E32" s="14" t="s">
        <v>101</v>
      </c>
      <c r="F32" s="13">
        <v>2</v>
      </c>
      <c r="G32" s="13">
        <v>6</v>
      </c>
      <c r="H32" s="15" t="str">
        <f t="shared" si="0"/>
        <v>C2-6</v>
      </c>
    </row>
    <row r="33" spans="1:8" ht="15" customHeight="1" x14ac:dyDescent="0.3">
      <c r="A33" s="13">
        <v>29</v>
      </c>
      <c r="B33" s="14" t="s">
        <v>102</v>
      </c>
      <c r="C33" s="13" t="s">
        <v>62</v>
      </c>
      <c r="D33" s="14" t="s">
        <v>91</v>
      </c>
      <c r="E33" s="14" t="s">
        <v>101</v>
      </c>
      <c r="F33" s="13">
        <v>2</v>
      </c>
      <c r="G33" s="13">
        <v>7</v>
      </c>
      <c r="H33" s="15" t="str">
        <f t="shared" si="0"/>
        <v>C2-7</v>
      </c>
    </row>
    <row r="34" spans="1:8" ht="15" customHeight="1" x14ac:dyDescent="0.3">
      <c r="A34" s="13">
        <v>30</v>
      </c>
      <c r="B34" s="14" t="s">
        <v>103</v>
      </c>
      <c r="C34" s="13" t="s">
        <v>62</v>
      </c>
      <c r="D34" s="14" t="s">
        <v>91</v>
      </c>
      <c r="E34" s="14" t="s">
        <v>101</v>
      </c>
      <c r="F34" s="13">
        <v>1</v>
      </c>
      <c r="G34" s="13">
        <v>8</v>
      </c>
      <c r="H34" s="15" t="str">
        <f t="shared" si="0"/>
        <v>C2-8</v>
      </c>
    </row>
    <row r="35" spans="1:8" ht="15" customHeight="1" x14ac:dyDescent="0.3">
      <c r="A35" s="13">
        <v>31</v>
      </c>
      <c r="B35" s="14" t="s">
        <v>104</v>
      </c>
      <c r="C35" s="13" t="s">
        <v>62</v>
      </c>
      <c r="D35" s="14" t="s">
        <v>94</v>
      </c>
      <c r="E35" s="14" t="s">
        <v>105</v>
      </c>
      <c r="F35" s="13">
        <v>3</v>
      </c>
      <c r="G35" s="13">
        <v>9</v>
      </c>
      <c r="H35" s="15" t="str">
        <f t="shared" si="0"/>
        <v>C2-9</v>
      </c>
    </row>
    <row r="36" spans="1:8" ht="15" customHeight="1" x14ac:dyDescent="0.3">
      <c r="A36" s="13">
        <v>32</v>
      </c>
      <c r="B36" s="14" t="s">
        <v>106</v>
      </c>
      <c r="C36" s="13" t="s">
        <v>62</v>
      </c>
      <c r="D36" s="14" t="s">
        <v>94</v>
      </c>
      <c r="E36" s="14" t="s">
        <v>95</v>
      </c>
      <c r="F36" s="13">
        <v>2</v>
      </c>
      <c r="G36" s="13">
        <v>10</v>
      </c>
      <c r="H36" s="15" t="str">
        <f t="shared" si="0"/>
        <v>C2-10</v>
      </c>
    </row>
    <row r="37" spans="1:8" ht="15" customHeight="1" x14ac:dyDescent="0.3">
      <c r="A37" s="13">
        <v>33</v>
      </c>
      <c r="B37" s="14" t="s">
        <v>107</v>
      </c>
      <c r="C37" s="13" t="s">
        <v>62</v>
      </c>
      <c r="D37" s="14" t="s">
        <v>94</v>
      </c>
      <c r="E37" s="14" t="s">
        <v>105</v>
      </c>
      <c r="F37" s="13">
        <v>2</v>
      </c>
      <c r="G37" s="13">
        <v>11</v>
      </c>
      <c r="H37" s="15" t="str">
        <f t="shared" ref="H37:H68" si="1">C37&amp;"-"&amp;G37</f>
        <v>C2-11</v>
      </c>
    </row>
    <row r="38" spans="1:8" ht="15" customHeight="1" x14ac:dyDescent="0.3">
      <c r="A38" s="17">
        <v>34</v>
      </c>
      <c r="B38" s="18" t="s">
        <v>108</v>
      </c>
      <c r="C38" s="17" t="s">
        <v>62</v>
      </c>
      <c r="D38" s="18" t="s">
        <v>94</v>
      </c>
      <c r="E38" s="18" t="s">
        <v>95</v>
      </c>
      <c r="F38" s="17">
        <v>1</v>
      </c>
      <c r="G38" s="17">
        <v>12</v>
      </c>
      <c r="H38" s="19" t="str">
        <f t="shared" si="1"/>
        <v>C2-12</v>
      </c>
    </row>
    <row r="39" spans="1:8" ht="15" customHeight="1" x14ac:dyDescent="0.3">
      <c r="A39" s="17">
        <v>35</v>
      </c>
      <c r="B39" s="18" t="s">
        <v>109</v>
      </c>
      <c r="C39" s="17" t="s">
        <v>62</v>
      </c>
      <c r="D39" s="18" t="s">
        <v>94</v>
      </c>
      <c r="E39" s="18" t="s">
        <v>105</v>
      </c>
      <c r="F39" s="17">
        <v>1</v>
      </c>
      <c r="G39" s="17">
        <v>13</v>
      </c>
      <c r="H39" s="19" t="str">
        <f t="shared" si="1"/>
        <v>C2-13</v>
      </c>
    </row>
    <row r="40" spans="1:8" ht="15" customHeight="1" x14ac:dyDescent="0.3">
      <c r="A40" s="17">
        <v>36</v>
      </c>
      <c r="B40" s="18" t="s">
        <v>110</v>
      </c>
      <c r="C40" s="17" t="s">
        <v>62</v>
      </c>
      <c r="D40" s="18" t="s">
        <v>91</v>
      </c>
      <c r="E40" s="18" t="s">
        <v>111</v>
      </c>
      <c r="F40" s="17">
        <v>2</v>
      </c>
      <c r="G40" s="17">
        <v>14</v>
      </c>
      <c r="H40" s="19" t="str">
        <f t="shared" si="1"/>
        <v>C2-14</v>
      </c>
    </row>
    <row r="41" spans="1:8" ht="15" customHeight="1" x14ac:dyDescent="0.3">
      <c r="A41" s="17">
        <v>37</v>
      </c>
      <c r="B41" s="18" t="s">
        <v>112</v>
      </c>
      <c r="C41" s="17" t="s">
        <v>62</v>
      </c>
      <c r="D41" s="18" t="s">
        <v>94</v>
      </c>
      <c r="E41" s="18" t="s">
        <v>95</v>
      </c>
      <c r="F41" s="17">
        <v>1</v>
      </c>
      <c r="G41" s="17">
        <v>15</v>
      </c>
      <c r="H41" s="19" t="str">
        <f t="shared" si="1"/>
        <v>C2-15</v>
      </c>
    </row>
    <row r="42" spans="1:8" ht="15" customHeight="1" x14ac:dyDescent="0.3">
      <c r="A42" s="17">
        <v>38</v>
      </c>
      <c r="B42" s="18" t="s">
        <v>113</v>
      </c>
      <c r="C42" s="17" t="s">
        <v>62</v>
      </c>
      <c r="D42" s="18" t="s">
        <v>91</v>
      </c>
      <c r="E42" s="18" t="s">
        <v>111</v>
      </c>
      <c r="F42" s="17">
        <v>1</v>
      </c>
      <c r="G42" s="17">
        <v>16</v>
      </c>
      <c r="H42" s="19" t="str">
        <f t="shared" si="1"/>
        <v>C2-16</v>
      </c>
    </row>
    <row r="43" spans="1:8" ht="15" customHeight="1" x14ac:dyDescent="0.3">
      <c r="A43" s="17">
        <v>39</v>
      </c>
      <c r="B43" s="18" t="s">
        <v>114</v>
      </c>
      <c r="C43" s="17" t="s">
        <v>62</v>
      </c>
      <c r="D43" s="18" t="s">
        <v>91</v>
      </c>
      <c r="E43" s="18" t="s">
        <v>98</v>
      </c>
      <c r="F43" s="17">
        <v>1</v>
      </c>
      <c r="G43" s="17">
        <v>17</v>
      </c>
      <c r="H43" s="19" t="str">
        <f t="shared" si="1"/>
        <v>C2-17</v>
      </c>
    </row>
    <row r="44" spans="1:8" ht="15" customHeight="1" x14ac:dyDescent="0.3">
      <c r="A44" s="17">
        <v>40</v>
      </c>
      <c r="B44" s="18" t="s">
        <v>115</v>
      </c>
      <c r="C44" s="17" t="s">
        <v>62</v>
      </c>
      <c r="D44" s="18" t="s">
        <v>91</v>
      </c>
      <c r="E44" s="18" t="s">
        <v>98</v>
      </c>
      <c r="F44" s="17">
        <v>2</v>
      </c>
      <c r="G44" s="17">
        <v>18</v>
      </c>
      <c r="H44" s="19" t="str">
        <f t="shared" si="1"/>
        <v>C2-18</v>
      </c>
    </row>
    <row r="45" spans="1:8" ht="15" customHeight="1" x14ac:dyDescent="0.3">
      <c r="A45" s="17">
        <v>41</v>
      </c>
      <c r="B45" s="18" t="s">
        <v>116</v>
      </c>
      <c r="C45" s="17" t="s">
        <v>62</v>
      </c>
      <c r="D45" s="18" t="s">
        <v>94</v>
      </c>
      <c r="E45" s="18" t="s">
        <v>95</v>
      </c>
      <c r="F45" s="17">
        <v>3</v>
      </c>
      <c r="G45" s="17">
        <v>19</v>
      </c>
      <c r="H45" s="19" t="str">
        <f t="shared" si="1"/>
        <v>C2-19</v>
      </c>
    </row>
    <row r="46" spans="1:8" ht="15" customHeight="1" x14ac:dyDescent="0.3">
      <c r="A46" s="17">
        <v>42</v>
      </c>
      <c r="B46" s="18" t="s">
        <v>117</v>
      </c>
      <c r="C46" s="17" t="s">
        <v>62</v>
      </c>
      <c r="D46" s="18" t="s">
        <v>94</v>
      </c>
      <c r="E46" s="18" t="s">
        <v>95</v>
      </c>
      <c r="F46" s="17">
        <v>3</v>
      </c>
      <c r="G46" s="17">
        <v>20</v>
      </c>
      <c r="H46" s="19" t="str">
        <f t="shared" si="1"/>
        <v>C2-20</v>
      </c>
    </row>
    <row r="47" spans="1:8" ht="15" customHeight="1" x14ac:dyDescent="0.3">
      <c r="A47" s="17">
        <v>43</v>
      </c>
      <c r="B47" s="18" t="s">
        <v>118</v>
      </c>
      <c r="C47" s="17" t="s">
        <v>62</v>
      </c>
      <c r="D47" s="18" t="s">
        <v>94</v>
      </c>
      <c r="E47" s="18" t="s">
        <v>105</v>
      </c>
      <c r="F47" s="17">
        <v>1</v>
      </c>
      <c r="G47" s="17">
        <v>21</v>
      </c>
      <c r="H47" s="19" t="str">
        <f t="shared" si="1"/>
        <v>C2-21</v>
      </c>
    </row>
    <row r="48" spans="1:8" ht="15" customHeight="1" x14ac:dyDescent="0.3">
      <c r="A48" s="17">
        <v>44</v>
      </c>
      <c r="B48" s="18" t="s">
        <v>119</v>
      </c>
      <c r="C48" s="17" t="s">
        <v>62</v>
      </c>
      <c r="D48" s="18" t="s">
        <v>94</v>
      </c>
      <c r="E48" s="18" t="s">
        <v>105</v>
      </c>
      <c r="F48" s="17">
        <v>3</v>
      </c>
      <c r="G48" s="17">
        <v>22</v>
      </c>
      <c r="H48" s="19" t="str">
        <f t="shared" si="1"/>
        <v>C2-22</v>
      </c>
    </row>
    <row r="49" spans="1:8" ht="15" customHeight="1" x14ac:dyDescent="0.3">
      <c r="A49" s="13">
        <v>45</v>
      </c>
      <c r="B49" s="14" t="s">
        <v>120</v>
      </c>
      <c r="C49" s="13" t="s">
        <v>64</v>
      </c>
      <c r="D49" s="14" t="s">
        <v>121</v>
      </c>
      <c r="E49" s="14" t="s">
        <v>122</v>
      </c>
      <c r="F49" s="13">
        <v>1</v>
      </c>
      <c r="G49" s="13">
        <v>1</v>
      </c>
      <c r="H49" s="15" t="str">
        <f t="shared" si="1"/>
        <v>C3-1</v>
      </c>
    </row>
    <row r="50" spans="1:8" ht="15" customHeight="1" x14ac:dyDescent="0.3">
      <c r="A50" s="13">
        <v>46</v>
      </c>
      <c r="B50" s="14" t="s">
        <v>123</v>
      </c>
      <c r="C50" s="13" t="s">
        <v>64</v>
      </c>
      <c r="D50" s="14" t="s">
        <v>121</v>
      </c>
      <c r="E50" s="14" t="s">
        <v>122</v>
      </c>
      <c r="F50" s="13">
        <v>2</v>
      </c>
      <c r="G50" s="13">
        <v>2</v>
      </c>
      <c r="H50" s="15" t="str">
        <f t="shared" si="1"/>
        <v>C3-2</v>
      </c>
    </row>
    <row r="51" spans="1:8" ht="15" customHeight="1" x14ac:dyDescent="0.3">
      <c r="A51" s="13">
        <v>47</v>
      </c>
      <c r="B51" s="14" t="s">
        <v>124</v>
      </c>
      <c r="C51" s="13" t="s">
        <v>64</v>
      </c>
      <c r="D51" s="14" t="s">
        <v>121</v>
      </c>
      <c r="E51" s="14" t="s">
        <v>122</v>
      </c>
      <c r="F51" s="13">
        <v>3</v>
      </c>
      <c r="G51" s="13">
        <v>3</v>
      </c>
      <c r="H51" s="15" t="str">
        <f t="shared" si="1"/>
        <v>C3-3</v>
      </c>
    </row>
    <row r="52" spans="1:8" ht="15" customHeight="1" x14ac:dyDescent="0.3">
      <c r="A52" s="13">
        <v>48</v>
      </c>
      <c r="B52" s="14" t="s">
        <v>125</v>
      </c>
      <c r="C52" s="13" t="s">
        <v>64</v>
      </c>
      <c r="D52" s="14" t="s">
        <v>121</v>
      </c>
      <c r="E52" s="14" t="s">
        <v>122</v>
      </c>
      <c r="F52" s="13">
        <v>2</v>
      </c>
      <c r="G52" s="13">
        <v>4</v>
      </c>
      <c r="H52" s="15" t="str">
        <f t="shared" si="1"/>
        <v>C3-4</v>
      </c>
    </row>
    <row r="53" spans="1:8" ht="15" customHeight="1" x14ac:dyDescent="0.3">
      <c r="A53" s="13">
        <v>49</v>
      </c>
      <c r="B53" s="14" t="s">
        <v>126</v>
      </c>
      <c r="C53" s="13" t="s">
        <v>64</v>
      </c>
      <c r="D53" s="14" t="s">
        <v>121</v>
      </c>
      <c r="E53" s="14" t="s">
        <v>127</v>
      </c>
      <c r="F53" s="13">
        <v>2</v>
      </c>
      <c r="G53" s="13">
        <v>5</v>
      </c>
      <c r="H53" s="15" t="str">
        <f t="shared" si="1"/>
        <v>C3-5</v>
      </c>
    </row>
    <row r="54" spans="1:8" ht="15" customHeight="1" x14ac:dyDescent="0.3">
      <c r="A54" s="13">
        <v>50</v>
      </c>
      <c r="B54" s="14" t="s">
        <v>128</v>
      </c>
      <c r="C54" s="13" t="s">
        <v>64</v>
      </c>
      <c r="D54" s="14" t="s">
        <v>121</v>
      </c>
      <c r="E54" s="14" t="s">
        <v>127</v>
      </c>
      <c r="F54" s="13">
        <v>3</v>
      </c>
      <c r="G54" s="13">
        <v>6</v>
      </c>
      <c r="H54" s="15" t="str">
        <f t="shared" si="1"/>
        <v>C3-6</v>
      </c>
    </row>
    <row r="55" spans="1:8" ht="15" customHeight="1" x14ac:dyDescent="0.3">
      <c r="A55" s="13">
        <v>51</v>
      </c>
      <c r="B55" s="14" t="s">
        <v>129</v>
      </c>
      <c r="C55" s="13" t="s">
        <v>64</v>
      </c>
      <c r="D55" s="14" t="s">
        <v>121</v>
      </c>
      <c r="E55" s="14" t="s">
        <v>127</v>
      </c>
      <c r="F55" s="13">
        <v>3</v>
      </c>
      <c r="G55" s="13">
        <v>7</v>
      </c>
      <c r="H55" s="15" t="str">
        <f t="shared" si="1"/>
        <v>C3-7</v>
      </c>
    </row>
    <row r="56" spans="1:8" ht="15" customHeight="1" x14ac:dyDescent="0.3">
      <c r="A56" s="13">
        <v>52</v>
      </c>
      <c r="B56" s="14" t="s">
        <v>130</v>
      </c>
      <c r="C56" s="13" t="s">
        <v>64</v>
      </c>
      <c r="D56" s="14" t="s">
        <v>121</v>
      </c>
      <c r="E56" s="14" t="s">
        <v>127</v>
      </c>
      <c r="F56" s="13">
        <v>2</v>
      </c>
      <c r="G56" s="13">
        <v>8</v>
      </c>
      <c r="H56" s="15" t="str">
        <f t="shared" si="1"/>
        <v>C3-8</v>
      </c>
    </row>
    <row r="57" spans="1:8" ht="15" customHeight="1" x14ac:dyDescent="0.3">
      <c r="A57" s="13">
        <v>53</v>
      </c>
      <c r="B57" s="14" t="s">
        <v>131</v>
      </c>
      <c r="C57" s="13" t="s">
        <v>64</v>
      </c>
      <c r="D57" s="14" t="s">
        <v>121</v>
      </c>
      <c r="E57" s="14" t="s">
        <v>132</v>
      </c>
      <c r="F57" s="13">
        <v>2</v>
      </c>
      <c r="G57" s="13">
        <v>9</v>
      </c>
      <c r="H57" s="15" t="str">
        <f t="shared" si="1"/>
        <v>C3-9</v>
      </c>
    </row>
    <row r="58" spans="1:8" ht="15" customHeight="1" x14ac:dyDescent="0.3">
      <c r="A58" s="13">
        <v>54</v>
      </c>
      <c r="B58" s="14" t="s">
        <v>133</v>
      </c>
      <c r="C58" s="13" t="s">
        <v>64</v>
      </c>
      <c r="D58" s="14" t="s">
        <v>121</v>
      </c>
      <c r="E58" s="14" t="s">
        <v>132</v>
      </c>
      <c r="F58" s="13">
        <v>2</v>
      </c>
      <c r="G58" s="13">
        <v>10</v>
      </c>
      <c r="H58" s="15" t="str">
        <f t="shared" si="1"/>
        <v>C3-10</v>
      </c>
    </row>
    <row r="59" spans="1:8" ht="15" customHeight="1" x14ac:dyDescent="0.3">
      <c r="A59" s="13">
        <v>55</v>
      </c>
      <c r="B59" s="14" t="s">
        <v>134</v>
      </c>
      <c r="C59" s="13" t="s">
        <v>64</v>
      </c>
      <c r="D59" s="14" t="s">
        <v>121</v>
      </c>
      <c r="E59" s="14" t="s">
        <v>135</v>
      </c>
      <c r="F59" s="13">
        <v>2</v>
      </c>
      <c r="G59" s="13">
        <v>11</v>
      </c>
      <c r="H59" s="15" t="str">
        <f t="shared" si="1"/>
        <v>C3-11</v>
      </c>
    </row>
    <row r="60" spans="1:8" ht="15" customHeight="1" x14ac:dyDescent="0.3">
      <c r="A60" s="17">
        <v>56</v>
      </c>
      <c r="B60" s="18" t="s">
        <v>136</v>
      </c>
      <c r="C60" s="17" t="s">
        <v>64</v>
      </c>
      <c r="D60" s="18" t="s">
        <v>121</v>
      </c>
      <c r="E60" s="18" t="s">
        <v>137</v>
      </c>
      <c r="F60" s="17">
        <v>2</v>
      </c>
      <c r="G60" s="17">
        <v>12</v>
      </c>
      <c r="H60" s="19" t="str">
        <f t="shared" si="1"/>
        <v>C3-12</v>
      </c>
    </row>
    <row r="61" spans="1:8" ht="15" customHeight="1" x14ac:dyDescent="0.3">
      <c r="A61" s="17">
        <v>57</v>
      </c>
      <c r="B61" s="18" t="s">
        <v>138</v>
      </c>
      <c r="C61" s="17" t="s">
        <v>64</v>
      </c>
      <c r="D61" s="18" t="s">
        <v>121</v>
      </c>
      <c r="E61" s="18" t="s">
        <v>122</v>
      </c>
      <c r="F61" s="17">
        <v>1</v>
      </c>
      <c r="G61" s="17">
        <v>13</v>
      </c>
      <c r="H61" s="19" t="str">
        <f t="shared" si="1"/>
        <v>C3-13</v>
      </c>
    </row>
    <row r="62" spans="1:8" ht="15" customHeight="1" x14ac:dyDescent="0.3">
      <c r="A62" s="17">
        <v>58</v>
      </c>
      <c r="B62" s="18" t="s">
        <v>139</v>
      </c>
      <c r="C62" s="17" t="s">
        <v>64</v>
      </c>
      <c r="D62" s="18" t="s">
        <v>121</v>
      </c>
      <c r="E62" s="18" t="s">
        <v>127</v>
      </c>
      <c r="F62" s="17">
        <v>1</v>
      </c>
      <c r="G62" s="17">
        <v>14</v>
      </c>
      <c r="H62" s="19" t="str">
        <f t="shared" si="1"/>
        <v>C3-14</v>
      </c>
    </row>
    <row r="63" spans="1:8" ht="15" customHeight="1" x14ac:dyDescent="0.3">
      <c r="A63" s="17">
        <v>59</v>
      </c>
      <c r="B63" s="18" t="s">
        <v>140</v>
      </c>
      <c r="C63" s="17" t="s">
        <v>64</v>
      </c>
      <c r="D63" s="18" t="s">
        <v>121</v>
      </c>
      <c r="E63" s="18" t="s">
        <v>132</v>
      </c>
      <c r="F63" s="17">
        <v>1</v>
      </c>
      <c r="G63" s="17">
        <v>15</v>
      </c>
      <c r="H63" s="19" t="str">
        <f t="shared" si="1"/>
        <v>C3-15</v>
      </c>
    </row>
    <row r="64" spans="1:8" ht="15" customHeight="1" x14ac:dyDescent="0.3">
      <c r="A64" s="17">
        <v>60</v>
      </c>
      <c r="B64" s="18" t="s">
        <v>141</v>
      </c>
      <c r="C64" s="17" t="s">
        <v>64</v>
      </c>
      <c r="D64" s="18" t="s">
        <v>121</v>
      </c>
      <c r="E64" s="18" t="s">
        <v>122</v>
      </c>
      <c r="F64" s="17">
        <v>3</v>
      </c>
      <c r="G64" s="17">
        <v>16</v>
      </c>
      <c r="H64" s="19" t="str">
        <f t="shared" si="1"/>
        <v>C3-16</v>
      </c>
    </row>
    <row r="65" spans="1:8" ht="15" customHeight="1" x14ac:dyDescent="0.3">
      <c r="A65" s="17">
        <v>61</v>
      </c>
      <c r="B65" s="18" t="s">
        <v>142</v>
      </c>
      <c r="C65" s="17" t="s">
        <v>64</v>
      </c>
      <c r="D65" s="18" t="s">
        <v>121</v>
      </c>
      <c r="E65" s="18" t="s">
        <v>137</v>
      </c>
      <c r="F65" s="17">
        <v>2</v>
      </c>
      <c r="G65" s="17">
        <v>17</v>
      </c>
      <c r="H65" s="19" t="str">
        <f t="shared" si="1"/>
        <v>C3-17</v>
      </c>
    </row>
    <row r="66" spans="1:8" ht="15" customHeight="1" x14ac:dyDescent="0.3">
      <c r="A66" s="17">
        <v>62</v>
      </c>
      <c r="B66" s="18" t="s">
        <v>143</v>
      </c>
      <c r="C66" s="17" t="s">
        <v>64</v>
      </c>
      <c r="D66" s="18" t="s">
        <v>121</v>
      </c>
      <c r="E66" s="18" t="s">
        <v>135</v>
      </c>
      <c r="F66" s="17">
        <v>1</v>
      </c>
      <c r="G66" s="17">
        <v>18</v>
      </c>
      <c r="H66" s="19" t="str">
        <f t="shared" si="1"/>
        <v>C3-18</v>
      </c>
    </row>
    <row r="67" spans="1:8" ht="15" customHeight="1" x14ac:dyDescent="0.3">
      <c r="A67" s="17">
        <v>63</v>
      </c>
      <c r="B67" s="18" t="s">
        <v>144</v>
      </c>
      <c r="C67" s="17" t="s">
        <v>64</v>
      </c>
      <c r="D67" s="18" t="s">
        <v>121</v>
      </c>
      <c r="E67" s="18" t="s">
        <v>135</v>
      </c>
      <c r="F67" s="17">
        <v>1</v>
      </c>
      <c r="G67" s="17">
        <v>19</v>
      </c>
      <c r="H67" s="19" t="str">
        <f t="shared" si="1"/>
        <v>C3-19</v>
      </c>
    </row>
    <row r="68" spans="1:8" ht="15" customHeight="1" x14ac:dyDescent="0.3">
      <c r="A68" s="17">
        <v>64</v>
      </c>
      <c r="B68" s="18" t="s">
        <v>145</v>
      </c>
      <c r="C68" s="17" t="s">
        <v>64</v>
      </c>
      <c r="D68" s="18" t="s">
        <v>121</v>
      </c>
      <c r="E68" s="18" t="s">
        <v>137</v>
      </c>
      <c r="F68" s="17">
        <v>1</v>
      </c>
      <c r="G68" s="17">
        <v>20</v>
      </c>
      <c r="H68" s="19" t="str">
        <f t="shared" si="1"/>
        <v>C3-20</v>
      </c>
    </row>
    <row r="69" spans="1:8" ht="15" customHeight="1" x14ac:dyDescent="0.3">
      <c r="A69" s="17">
        <v>65</v>
      </c>
      <c r="B69" s="18" t="s">
        <v>146</v>
      </c>
      <c r="C69" s="17" t="s">
        <v>64</v>
      </c>
      <c r="D69" s="18" t="s">
        <v>121</v>
      </c>
      <c r="E69" s="18" t="s">
        <v>132</v>
      </c>
      <c r="F69" s="17">
        <v>1</v>
      </c>
      <c r="G69" s="17">
        <v>21</v>
      </c>
      <c r="H69" s="19" t="str">
        <f t="shared" ref="H69:H100" si="2">C69&amp;"-"&amp;G69</f>
        <v>C3-21</v>
      </c>
    </row>
    <row r="70" spans="1:8" ht="15" customHeight="1" x14ac:dyDescent="0.3">
      <c r="A70" s="17">
        <v>66</v>
      </c>
      <c r="B70" s="18" t="s">
        <v>147</v>
      </c>
      <c r="C70" s="17" t="s">
        <v>64</v>
      </c>
      <c r="D70" s="18" t="s">
        <v>121</v>
      </c>
      <c r="E70" s="18" t="s">
        <v>135</v>
      </c>
      <c r="F70" s="17">
        <v>3</v>
      </c>
      <c r="G70" s="17">
        <v>22</v>
      </c>
      <c r="H70" s="19" t="str">
        <f t="shared" si="2"/>
        <v>C3-22</v>
      </c>
    </row>
    <row r="71" spans="1:8" ht="15" customHeight="1" x14ac:dyDescent="0.3">
      <c r="A71" s="13">
        <v>67</v>
      </c>
      <c r="B71" s="14" t="s">
        <v>148</v>
      </c>
      <c r="C71" s="13" t="s">
        <v>66</v>
      </c>
      <c r="D71" s="14" t="s">
        <v>149</v>
      </c>
      <c r="E71" s="14" t="s">
        <v>150</v>
      </c>
      <c r="F71" s="13">
        <v>1</v>
      </c>
      <c r="G71" s="13">
        <v>1</v>
      </c>
      <c r="H71" s="15" t="str">
        <f t="shared" si="2"/>
        <v>C4-1</v>
      </c>
    </row>
    <row r="72" spans="1:8" ht="15" customHeight="1" x14ac:dyDescent="0.3">
      <c r="A72" s="13">
        <v>68</v>
      </c>
      <c r="B72" s="14" t="s">
        <v>151</v>
      </c>
      <c r="C72" s="13" t="s">
        <v>66</v>
      </c>
      <c r="D72" s="14" t="s">
        <v>152</v>
      </c>
      <c r="E72" s="14" t="s">
        <v>153</v>
      </c>
      <c r="F72" s="13">
        <v>2</v>
      </c>
      <c r="G72" s="13">
        <v>2</v>
      </c>
      <c r="H72" s="15" t="str">
        <f t="shared" si="2"/>
        <v>C4-2</v>
      </c>
    </row>
    <row r="73" spans="1:8" ht="15" customHeight="1" x14ac:dyDescent="0.3">
      <c r="A73" s="13">
        <v>69</v>
      </c>
      <c r="B73" s="14" t="s">
        <v>154</v>
      </c>
      <c r="C73" s="13" t="s">
        <v>66</v>
      </c>
      <c r="D73" s="14" t="s">
        <v>149</v>
      </c>
      <c r="E73" s="14" t="s">
        <v>155</v>
      </c>
      <c r="F73" s="13">
        <v>3</v>
      </c>
      <c r="G73" s="13">
        <v>3</v>
      </c>
      <c r="H73" s="15" t="str">
        <f t="shared" si="2"/>
        <v>C4-3</v>
      </c>
    </row>
    <row r="74" spans="1:8" ht="15" customHeight="1" x14ac:dyDescent="0.3">
      <c r="A74" s="13">
        <v>70</v>
      </c>
      <c r="B74" s="14" t="s">
        <v>156</v>
      </c>
      <c r="C74" s="13" t="s">
        <v>66</v>
      </c>
      <c r="D74" s="14" t="s">
        <v>149</v>
      </c>
      <c r="E74" s="14" t="s">
        <v>157</v>
      </c>
      <c r="F74" s="13">
        <v>1</v>
      </c>
      <c r="G74" s="13">
        <v>4</v>
      </c>
      <c r="H74" s="15" t="str">
        <f t="shared" si="2"/>
        <v>C4-4</v>
      </c>
    </row>
    <row r="75" spans="1:8" ht="15" customHeight="1" x14ac:dyDescent="0.3">
      <c r="A75" s="13">
        <v>71</v>
      </c>
      <c r="B75" s="14" t="s">
        <v>158</v>
      </c>
      <c r="C75" s="13" t="s">
        <v>66</v>
      </c>
      <c r="D75" s="14" t="s">
        <v>152</v>
      </c>
      <c r="E75" s="14" t="s">
        <v>153</v>
      </c>
      <c r="F75" s="13">
        <v>3</v>
      </c>
      <c r="G75" s="13">
        <v>5</v>
      </c>
      <c r="H75" s="15" t="str">
        <f t="shared" si="2"/>
        <v>C4-5</v>
      </c>
    </row>
    <row r="76" spans="1:8" ht="15" customHeight="1" x14ac:dyDescent="0.3">
      <c r="A76" s="13">
        <v>72</v>
      </c>
      <c r="B76" s="14" t="s">
        <v>159</v>
      </c>
      <c r="C76" s="13" t="s">
        <v>66</v>
      </c>
      <c r="D76" s="14" t="s">
        <v>149</v>
      </c>
      <c r="E76" s="14" t="s">
        <v>155</v>
      </c>
      <c r="F76" s="13">
        <v>2</v>
      </c>
      <c r="G76" s="13">
        <v>6</v>
      </c>
      <c r="H76" s="15" t="str">
        <f t="shared" si="2"/>
        <v>C4-6</v>
      </c>
    </row>
    <row r="77" spans="1:8" ht="15" customHeight="1" x14ac:dyDescent="0.3">
      <c r="A77" s="13">
        <v>73</v>
      </c>
      <c r="B77" s="14" t="s">
        <v>160</v>
      </c>
      <c r="C77" s="13" t="s">
        <v>66</v>
      </c>
      <c r="D77" s="14" t="s">
        <v>149</v>
      </c>
      <c r="E77" s="14" t="s">
        <v>155</v>
      </c>
      <c r="F77" s="13">
        <v>2</v>
      </c>
      <c r="G77" s="13">
        <v>7</v>
      </c>
      <c r="H77" s="15" t="str">
        <f t="shared" si="2"/>
        <v>C4-7</v>
      </c>
    </row>
    <row r="78" spans="1:8" ht="15" customHeight="1" x14ac:dyDescent="0.3">
      <c r="A78" s="13">
        <v>74</v>
      </c>
      <c r="B78" s="14" t="s">
        <v>161</v>
      </c>
      <c r="C78" s="13" t="s">
        <v>66</v>
      </c>
      <c r="D78" s="14" t="s">
        <v>149</v>
      </c>
      <c r="E78" s="14" t="s">
        <v>150</v>
      </c>
      <c r="F78" s="13">
        <v>2</v>
      </c>
      <c r="G78" s="13">
        <v>8</v>
      </c>
      <c r="H78" s="15" t="str">
        <f t="shared" si="2"/>
        <v>C4-8</v>
      </c>
    </row>
    <row r="79" spans="1:8" ht="15" customHeight="1" x14ac:dyDescent="0.3">
      <c r="A79" s="13">
        <v>75</v>
      </c>
      <c r="B79" s="14" t="s">
        <v>162</v>
      </c>
      <c r="C79" s="13" t="s">
        <v>66</v>
      </c>
      <c r="D79" s="14" t="s">
        <v>149</v>
      </c>
      <c r="E79" s="14" t="s">
        <v>157</v>
      </c>
      <c r="F79" s="13">
        <v>2</v>
      </c>
      <c r="G79" s="13">
        <v>9</v>
      </c>
      <c r="H79" s="15" t="str">
        <f t="shared" si="2"/>
        <v>C4-9</v>
      </c>
    </row>
    <row r="80" spans="1:8" ht="15" customHeight="1" x14ac:dyDescent="0.3">
      <c r="A80" s="13">
        <v>76</v>
      </c>
      <c r="B80" s="14" t="s">
        <v>163</v>
      </c>
      <c r="C80" s="13" t="s">
        <v>66</v>
      </c>
      <c r="D80" s="14" t="s">
        <v>149</v>
      </c>
      <c r="E80" s="14" t="s">
        <v>157</v>
      </c>
      <c r="F80" s="13">
        <v>2</v>
      </c>
      <c r="G80" s="13">
        <v>10</v>
      </c>
      <c r="H80" s="15" t="str">
        <f t="shared" si="2"/>
        <v>C4-10</v>
      </c>
    </row>
    <row r="81" spans="1:8" ht="15" customHeight="1" x14ac:dyDescent="0.3">
      <c r="A81" s="13">
        <v>77</v>
      </c>
      <c r="B81" s="14" t="s">
        <v>164</v>
      </c>
      <c r="C81" s="13" t="s">
        <v>66</v>
      </c>
      <c r="D81" s="14" t="s">
        <v>149</v>
      </c>
      <c r="E81" s="14" t="s">
        <v>155</v>
      </c>
      <c r="F81" s="13">
        <v>1</v>
      </c>
      <c r="G81" s="13">
        <v>11</v>
      </c>
      <c r="H81" s="15" t="str">
        <f t="shared" si="2"/>
        <v>C4-11</v>
      </c>
    </row>
    <row r="82" spans="1:8" ht="15" customHeight="1" x14ac:dyDescent="0.3">
      <c r="A82" s="17">
        <v>78</v>
      </c>
      <c r="B82" s="18" t="s">
        <v>165</v>
      </c>
      <c r="C82" s="17" t="s">
        <v>66</v>
      </c>
      <c r="D82" s="18" t="s">
        <v>149</v>
      </c>
      <c r="E82" s="18" t="s">
        <v>150</v>
      </c>
      <c r="F82" s="17">
        <v>1</v>
      </c>
      <c r="G82" s="17">
        <v>12</v>
      </c>
      <c r="H82" s="19" t="str">
        <f t="shared" si="2"/>
        <v>C4-12</v>
      </c>
    </row>
    <row r="83" spans="1:8" ht="15" customHeight="1" x14ac:dyDescent="0.3">
      <c r="A83" s="17">
        <v>79</v>
      </c>
      <c r="B83" s="18" t="s">
        <v>166</v>
      </c>
      <c r="C83" s="17" t="s">
        <v>66</v>
      </c>
      <c r="D83" s="18" t="s">
        <v>149</v>
      </c>
      <c r="E83" s="18" t="s">
        <v>157</v>
      </c>
      <c r="F83" s="17">
        <v>3</v>
      </c>
      <c r="G83" s="17">
        <v>13</v>
      </c>
      <c r="H83" s="19" t="str">
        <f t="shared" si="2"/>
        <v>C4-13</v>
      </c>
    </row>
    <row r="84" spans="1:8" ht="15" customHeight="1" x14ac:dyDescent="0.3">
      <c r="A84" s="17">
        <v>80</v>
      </c>
      <c r="B84" s="18" t="s">
        <v>167</v>
      </c>
      <c r="C84" s="17" t="s">
        <v>66</v>
      </c>
      <c r="D84" s="18" t="s">
        <v>152</v>
      </c>
      <c r="E84" s="18" t="s">
        <v>153</v>
      </c>
      <c r="F84" s="17">
        <v>1</v>
      </c>
      <c r="G84" s="17">
        <v>14</v>
      </c>
      <c r="H84" s="19" t="str">
        <f t="shared" si="2"/>
        <v>C4-14</v>
      </c>
    </row>
    <row r="85" spans="1:8" ht="15" customHeight="1" x14ac:dyDescent="0.3">
      <c r="A85" s="17">
        <v>81</v>
      </c>
      <c r="B85" s="18" t="s">
        <v>168</v>
      </c>
      <c r="C85" s="17" t="s">
        <v>66</v>
      </c>
      <c r="D85" s="18" t="s">
        <v>152</v>
      </c>
      <c r="E85" s="18" t="s">
        <v>169</v>
      </c>
      <c r="F85" s="17">
        <v>2</v>
      </c>
      <c r="G85" s="17">
        <v>15</v>
      </c>
      <c r="H85" s="19" t="str">
        <f t="shared" si="2"/>
        <v>C4-15</v>
      </c>
    </row>
    <row r="86" spans="1:8" ht="15" customHeight="1" x14ac:dyDescent="0.3">
      <c r="A86" s="17">
        <v>82</v>
      </c>
      <c r="B86" s="18" t="s">
        <v>170</v>
      </c>
      <c r="C86" s="17" t="s">
        <v>66</v>
      </c>
      <c r="D86" s="18" t="s">
        <v>152</v>
      </c>
      <c r="E86" s="18" t="s">
        <v>169</v>
      </c>
      <c r="F86" s="17">
        <v>1</v>
      </c>
      <c r="G86" s="17">
        <v>16</v>
      </c>
      <c r="H86" s="19" t="str">
        <f t="shared" si="2"/>
        <v>C4-16</v>
      </c>
    </row>
    <row r="87" spans="1:8" ht="15" customHeight="1" x14ac:dyDescent="0.3">
      <c r="A87" s="17">
        <v>83</v>
      </c>
      <c r="B87" s="18" t="s">
        <v>171</v>
      </c>
      <c r="C87" s="17" t="s">
        <v>66</v>
      </c>
      <c r="D87" s="18" t="s">
        <v>152</v>
      </c>
      <c r="E87" s="18" t="s">
        <v>169</v>
      </c>
      <c r="F87" s="17">
        <v>2</v>
      </c>
      <c r="G87" s="17">
        <v>17</v>
      </c>
      <c r="H87" s="19" t="str">
        <f t="shared" si="2"/>
        <v>C4-17</v>
      </c>
    </row>
    <row r="88" spans="1:8" ht="15" customHeight="1" x14ac:dyDescent="0.3">
      <c r="A88" s="17">
        <v>84</v>
      </c>
      <c r="B88" s="18" t="s">
        <v>172</v>
      </c>
      <c r="C88" s="17" t="s">
        <v>66</v>
      </c>
      <c r="D88" s="18" t="s">
        <v>152</v>
      </c>
      <c r="E88" s="18" t="s">
        <v>173</v>
      </c>
      <c r="F88" s="17">
        <v>1</v>
      </c>
      <c r="G88" s="17">
        <v>18</v>
      </c>
      <c r="H88" s="19" t="str">
        <f t="shared" si="2"/>
        <v>C4-18</v>
      </c>
    </row>
    <row r="89" spans="1:8" ht="15" customHeight="1" x14ac:dyDescent="0.3">
      <c r="A89" s="17">
        <v>85</v>
      </c>
      <c r="B89" s="18" t="s">
        <v>174</v>
      </c>
      <c r="C89" s="17" t="s">
        <v>66</v>
      </c>
      <c r="D89" s="18" t="s">
        <v>152</v>
      </c>
      <c r="E89" s="18" t="s">
        <v>173</v>
      </c>
      <c r="F89" s="17">
        <v>2</v>
      </c>
      <c r="G89" s="17">
        <v>19</v>
      </c>
      <c r="H89" s="19" t="str">
        <f t="shared" si="2"/>
        <v>C4-19</v>
      </c>
    </row>
    <row r="90" spans="1:8" ht="15" customHeight="1" x14ac:dyDescent="0.3">
      <c r="A90" s="17">
        <v>86</v>
      </c>
      <c r="B90" s="18" t="s">
        <v>175</v>
      </c>
      <c r="C90" s="17" t="s">
        <v>66</v>
      </c>
      <c r="D90" s="18" t="s">
        <v>152</v>
      </c>
      <c r="E90" s="18" t="s">
        <v>153</v>
      </c>
      <c r="F90" s="17">
        <v>1</v>
      </c>
      <c r="G90" s="17">
        <v>20</v>
      </c>
      <c r="H90" s="19" t="str">
        <f t="shared" si="2"/>
        <v>C4-20</v>
      </c>
    </row>
    <row r="91" spans="1:8" ht="15" customHeight="1" x14ac:dyDescent="0.3">
      <c r="A91" s="17">
        <v>87</v>
      </c>
      <c r="B91" s="18" t="s">
        <v>176</v>
      </c>
      <c r="C91" s="17" t="s">
        <v>66</v>
      </c>
      <c r="D91" s="18" t="s">
        <v>152</v>
      </c>
      <c r="E91" s="18" t="s">
        <v>169</v>
      </c>
      <c r="F91" s="17">
        <v>3</v>
      </c>
      <c r="G91" s="17">
        <v>21</v>
      </c>
      <c r="H91" s="19" t="str">
        <f t="shared" si="2"/>
        <v>C4-21</v>
      </c>
    </row>
    <row r="92" spans="1:8" ht="15" customHeight="1" x14ac:dyDescent="0.3">
      <c r="A92" s="17">
        <v>88</v>
      </c>
      <c r="B92" s="18" t="s">
        <v>177</v>
      </c>
      <c r="C92" s="17" t="s">
        <v>66</v>
      </c>
      <c r="D92" s="18" t="s">
        <v>152</v>
      </c>
      <c r="E92" s="18" t="s">
        <v>173</v>
      </c>
      <c r="F92" s="17">
        <v>3</v>
      </c>
      <c r="G92" s="17">
        <v>22</v>
      </c>
      <c r="H92" s="19" t="str">
        <f t="shared" si="2"/>
        <v>C4-22</v>
      </c>
    </row>
    <row r="93" spans="1:8" ht="15" customHeight="1" x14ac:dyDescent="0.3">
      <c r="A93" s="13">
        <v>89</v>
      </c>
      <c r="B93" s="14" t="s">
        <v>178</v>
      </c>
      <c r="C93" s="13" t="s">
        <v>69</v>
      </c>
      <c r="D93" s="14" t="s">
        <v>179</v>
      </c>
      <c r="E93" s="14" t="s">
        <v>180</v>
      </c>
      <c r="F93" s="13">
        <v>1</v>
      </c>
      <c r="G93" s="13">
        <v>1</v>
      </c>
      <c r="H93" s="15" t="str">
        <f t="shared" si="2"/>
        <v>C5-1</v>
      </c>
    </row>
    <row r="94" spans="1:8" ht="15" customHeight="1" x14ac:dyDescent="0.3">
      <c r="A94" s="13">
        <v>90</v>
      </c>
      <c r="B94" s="14" t="s">
        <v>181</v>
      </c>
      <c r="C94" s="13" t="s">
        <v>69</v>
      </c>
      <c r="D94" s="14" t="s">
        <v>182</v>
      </c>
      <c r="E94" s="14" t="s">
        <v>183</v>
      </c>
      <c r="F94" s="13">
        <v>2</v>
      </c>
      <c r="G94" s="13">
        <v>2</v>
      </c>
      <c r="H94" s="15" t="str">
        <f t="shared" si="2"/>
        <v>C5-2</v>
      </c>
    </row>
    <row r="95" spans="1:8" ht="15" customHeight="1" x14ac:dyDescent="0.3">
      <c r="A95" s="13">
        <v>91</v>
      </c>
      <c r="B95" s="14" t="s">
        <v>184</v>
      </c>
      <c r="C95" s="13" t="s">
        <v>69</v>
      </c>
      <c r="D95" s="14" t="s">
        <v>179</v>
      </c>
      <c r="E95" s="14" t="s">
        <v>180</v>
      </c>
      <c r="F95" s="13">
        <v>3</v>
      </c>
      <c r="G95" s="13">
        <v>3</v>
      </c>
      <c r="H95" s="15" t="str">
        <f t="shared" si="2"/>
        <v>C5-3</v>
      </c>
    </row>
    <row r="96" spans="1:8" ht="15" customHeight="1" x14ac:dyDescent="0.3">
      <c r="A96" s="13">
        <v>92</v>
      </c>
      <c r="B96" s="14" t="s">
        <v>185</v>
      </c>
      <c r="C96" s="13" t="s">
        <v>69</v>
      </c>
      <c r="D96" s="14" t="s">
        <v>179</v>
      </c>
      <c r="E96" s="14" t="s">
        <v>180</v>
      </c>
      <c r="F96" s="13">
        <v>2</v>
      </c>
      <c r="G96" s="13">
        <v>4</v>
      </c>
      <c r="H96" s="15" t="str">
        <f t="shared" si="2"/>
        <v>C5-4</v>
      </c>
    </row>
    <row r="97" spans="1:8" ht="15" customHeight="1" x14ac:dyDescent="0.3">
      <c r="A97" s="13">
        <v>93</v>
      </c>
      <c r="B97" s="14" t="s">
        <v>186</v>
      </c>
      <c r="C97" s="13" t="s">
        <v>69</v>
      </c>
      <c r="D97" s="14" t="s">
        <v>182</v>
      </c>
      <c r="E97" s="14" t="s">
        <v>183</v>
      </c>
      <c r="F97" s="13">
        <v>1</v>
      </c>
      <c r="G97" s="13">
        <v>5</v>
      </c>
      <c r="H97" s="15" t="str">
        <f t="shared" si="2"/>
        <v>C5-5</v>
      </c>
    </row>
    <row r="98" spans="1:8" ht="15" customHeight="1" x14ac:dyDescent="0.3">
      <c r="A98" s="13">
        <v>94</v>
      </c>
      <c r="B98" s="14" t="s">
        <v>187</v>
      </c>
      <c r="C98" s="13" t="s">
        <v>69</v>
      </c>
      <c r="D98" s="14" t="s">
        <v>179</v>
      </c>
      <c r="E98" s="14" t="s">
        <v>180</v>
      </c>
      <c r="F98" s="13">
        <v>2</v>
      </c>
      <c r="G98" s="13">
        <v>6</v>
      </c>
      <c r="H98" s="15" t="str">
        <f t="shared" si="2"/>
        <v>C5-6</v>
      </c>
    </row>
    <row r="99" spans="1:8" ht="15" customHeight="1" x14ac:dyDescent="0.3">
      <c r="A99" s="13">
        <v>95</v>
      </c>
      <c r="B99" s="14" t="s">
        <v>188</v>
      </c>
      <c r="C99" s="13" t="s">
        <v>69</v>
      </c>
      <c r="D99" s="14" t="s">
        <v>179</v>
      </c>
      <c r="E99" s="14" t="s">
        <v>189</v>
      </c>
      <c r="F99" s="13">
        <v>2</v>
      </c>
      <c r="G99" s="13">
        <v>7</v>
      </c>
      <c r="H99" s="15" t="str">
        <f t="shared" si="2"/>
        <v>C5-7</v>
      </c>
    </row>
    <row r="100" spans="1:8" ht="15" customHeight="1" x14ac:dyDescent="0.3">
      <c r="A100" s="13">
        <v>96</v>
      </c>
      <c r="B100" s="14" t="s">
        <v>190</v>
      </c>
      <c r="C100" s="13" t="s">
        <v>69</v>
      </c>
      <c r="D100" s="14" t="s">
        <v>179</v>
      </c>
      <c r="E100" s="14" t="s">
        <v>189</v>
      </c>
      <c r="F100" s="13">
        <v>2</v>
      </c>
      <c r="G100" s="13">
        <v>8</v>
      </c>
      <c r="H100" s="15" t="str">
        <f t="shared" si="2"/>
        <v>C5-8</v>
      </c>
    </row>
    <row r="101" spans="1:8" ht="15" customHeight="1" x14ac:dyDescent="0.3">
      <c r="A101" s="13">
        <v>97</v>
      </c>
      <c r="B101" s="14" t="s">
        <v>191</v>
      </c>
      <c r="C101" s="13" t="s">
        <v>69</v>
      </c>
      <c r="D101" s="14" t="s">
        <v>179</v>
      </c>
      <c r="E101" s="14" t="s">
        <v>189</v>
      </c>
      <c r="F101" s="13">
        <v>1</v>
      </c>
      <c r="G101" s="13">
        <v>9</v>
      </c>
      <c r="H101" s="15" t="str">
        <f t="shared" ref="H101:H114" si="3">C101&amp;"-"&amp;G101</f>
        <v>C5-9</v>
      </c>
    </row>
    <row r="102" spans="1:8" ht="15" customHeight="1" x14ac:dyDescent="0.3">
      <c r="A102" s="13">
        <v>98</v>
      </c>
      <c r="B102" s="14" t="s">
        <v>192</v>
      </c>
      <c r="C102" s="13" t="s">
        <v>69</v>
      </c>
      <c r="D102" s="14" t="s">
        <v>179</v>
      </c>
      <c r="E102" s="14" t="s">
        <v>193</v>
      </c>
      <c r="F102" s="13">
        <v>2</v>
      </c>
      <c r="G102" s="13">
        <v>10</v>
      </c>
      <c r="H102" s="15" t="str">
        <f t="shared" si="3"/>
        <v>C5-10</v>
      </c>
    </row>
    <row r="103" spans="1:8" ht="15" customHeight="1" x14ac:dyDescent="0.3">
      <c r="A103" s="13">
        <v>99</v>
      </c>
      <c r="B103" s="14" t="s">
        <v>194</v>
      </c>
      <c r="C103" s="13" t="s">
        <v>69</v>
      </c>
      <c r="D103" s="14" t="s">
        <v>179</v>
      </c>
      <c r="E103" s="14" t="s">
        <v>193</v>
      </c>
      <c r="F103" s="13">
        <v>1</v>
      </c>
      <c r="G103" s="13">
        <v>11</v>
      </c>
      <c r="H103" s="15" t="str">
        <f t="shared" si="3"/>
        <v>C5-11</v>
      </c>
    </row>
    <row r="104" spans="1:8" ht="15" customHeight="1" x14ac:dyDescent="0.3">
      <c r="A104" s="17">
        <v>100</v>
      </c>
      <c r="B104" s="18" t="s">
        <v>195</v>
      </c>
      <c r="C104" s="17" t="s">
        <v>69</v>
      </c>
      <c r="D104" s="18" t="s">
        <v>179</v>
      </c>
      <c r="E104" s="18" t="s">
        <v>193</v>
      </c>
      <c r="F104" s="17">
        <v>2</v>
      </c>
      <c r="G104" s="17">
        <v>12</v>
      </c>
      <c r="H104" s="19" t="str">
        <f t="shared" si="3"/>
        <v>C5-12</v>
      </c>
    </row>
    <row r="105" spans="1:8" ht="15" customHeight="1" x14ac:dyDescent="0.3">
      <c r="A105" s="17">
        <v>101</v>
      </c>
      <c r="B105" s="18" t="s">
        <v>196</v>
      </c>
      <c r="C105" s="17" t="s">
        <v>69</v>
      </c>
      <c r="D105" s="18" t="s">
        <v>179</v>
      </c>
      <c r="E105" s="18" t="s">
        <v>189</v>
      </c>
      <c r="F105" s="17">
        <v>3</v>
      </c>
      <c r="G105" s="17">
        <v>13</v>
      </c>
      <c r="H105" s="19" t="str">
        <f t="shared" si="3"/>
        <v>C5-13</v>
      </c>
    </row>
    <row r="106" spans="1:8" ht="15" customHeight="1" x14ac:dyDescent="0.3">
      <c r="A106" s="17">
        <v>102</v>
      </c>
      <c r="B106" s="18" t="s">
        <v>197</v>
      </c>
      <c r="C106" s="17" t="s">
        <v>69</v>
      </c>
      <c r="D106" s="18" t="s">
        <v>182</v>
      </c>
      <c r="E106" s="18" t="s">
        <v>183</v>
      </c>
      <c r="F106" s="17">
        <v>2</v>
      </c>
      <c r="G106" s="17">
        <v>14</v>
      </c>
      <c r="H106" s="19" t="str">
        <f t="shared" si="3"/>
        <v>C5-14</v>
      </c>
    </row>
    <row r="107" spans="1:8" ht="15" customHeight="1" x14ac:dyDescent="0.3">
      <c r="A107" s="17">
        <v>103</v>
      </c>
      <c r="B107" s="18" t="s">
        <v>198</v>
      </c>
      <c r="C107" s="17" t="s">
        <v>69</v>
      </c>
      <c r="D107" s="18" t="s">
        <v>182</v>
      </c>
      <c r="E107" s="18" t="s">
        <v>199</v>
      </c>
      <c r="F107" s="17">
        <v>2</v>
      </c>
      <c r="G107" s="17">
        <v>15</v>
      </c>
      <c r="H107" s="19" t="str">
        <f t="shared" si="3"/>
        <v>C5-15</v>
      </c>
    </row>
    <row r="108" spans="1:8" ht="15" customHeight="1" x14ac:dyDescent="0.3">
      <c r="A108" s="17">
        <v>104</v>
      </c>
      <c r="B108" s="18" t="s">
        <v>200</v>
      </c>
      <c r="C108" s="17" t="s">
        <v>69</v>
      </c>
      <c r="D108" s="18" t="s">
        <v>182</v>
      </c>
      <c r="E108" s="18" t="s">
        <v>199</v>
      </c>
      <c r="F108" s="17">
        <v>1</v>
      </c>
      <c r="G108" s="17">
        <v>16</v>
      </c>
      <c r="H108" s="19" t="str">
        <f t="shared" si="3"/>
        <v>C5-16</v>
      </c>
    </row>
    <row r="109" spans="1:8" ht="15" customHeight="1" x14ac:dyDescent="0.3">
      <c r="A109" s="17">
        <v>105</v>
      </c>
      <c r="B109" s="18" t="s">
        <v>201</v>
      </c>
      <c r="C109" s="17" t="s">
        <v>69</v>
      </c>
      <c r="D109" s="18" t="s">
        <v>182</v>
      </c>
      <c r="E109" s="18" t="s">
        <v>199</v>
      </c>
      <c r="F109" s="17">
        <v>2</v>
      </c>
      <c r="G109" s="17">
        <v>17</v>
      </c>
      <c r="H109" s="19" t="str">
        <f t="shared" si="3"/>
        <v>C5-17</v>
      </c>
    </row>
    <row r="110" spans="1:8" ht="15" customHeight="1" x14ac:dyDescent="0.3">
      <c r="A110" s="17">
        <v>106</v>
      </c>
      <c r="B110" s="18" t="s">
        <v>202</v>
      </c>
      <c r="C110" s="17" t="s">
        <v>69</v>
      </c>
      <c r="D110" s="18" t="s">
        <v>182</v>
      </c>
      <c r="E110" s="18" t="s">
        <v>183</v>
      </c>
      <c r="F110" s="17">
        <v>1</v>
      </c>
      <c r="G110" s="17">
        <v>18</v>
      </c>
      <c r="H110" s="19" t="str">
        <f t="shared" si="3"/>
        <v>C5-18</v>
      </c>
    </row>
    <row r="111" spans="1:8" ht="15" customHeight="1" x14ac:dyDescent="0.3">
      <c r="A111" s="17">
        <v>107</v>
      </c>
      <c r="B111" s="18" t="s">
        <v>203</v>
      </c>
      <c r="C111" s="17" t="s">
        <v>69</v>
      </c>
      <c r="D111" s="18" t="s">
        <v>182</v>
      </c>
      <c r="E111" s="18" t="s">
        <v>199</v>
      </c>
      <c r="F111" s="17">
        <v>1</v>
      </c>
      <c r="G111" s="17">
        <v>19</v>
      </c>
      <c r="H111" s="19" t="str">
        <f t="shared" si="3"/>
        <v>C5-19</v>
      </c>
    </row>
    <row r="112" spans="1:8" ht="15" customHeight="1" x14ac:dyDescent="0.3">
      <c r="A112" s="17">
        <v>108</v>
      </c>
      <c r="B112" s="18" t="s">
        <v>204</v>
      </c>
      <c r="C112" s="17" t="s">
        <v>69</v>
      </c>
      <c r="D112" s="18" t="s">
        <v>182</v>
      </c>
      <c r="E112" s="18" t="s">
        <v>183</v>
      </c>
      <c r="F112" s="17">
        <v>3</v>
      </c>
      <c r="G112" s="17">
        <v>20</v>
      </c>
      <c r="H112" s="19" t="str">
        <f t="shared" si="3"/>
        <v>C5-20</v>
      </c>
    </row>
    <row r="113" spans="1:8" ht="15" customHeight="1" x14ac:dyDescent="0.3">
      <c r="A113" s="17">
        <v>109</v>
      </c>
      <c r="B113" s="18" t="s">
        <v>205</v>
      </c>
      <c r="C113" s="17" t="s">
        <v>69</v>
      </c>
      <c r="D113" s="18" t="s">
        <v>182</v>
      </c>
      <c r="E113" s="18" t="s">
        <v>183</v>
      </c>
      <c r="F113" s="17">
        <v>3</v>
      </c>
      <c r="G113" s="17">
        <v>21</v>
      </c>
      <c r="H113" s="19" t="str">
        <f t="shared" si="3"/>
        <v>C5-21</v>
      </c>
    </row>
    <row r="114" spans="1:8" ht="15" customHeight="1" x14ac:dyDescent="0.3">
      <c r="A114" s="17">
        <v>110</v>
      </c>
      <c r="B114" s="18" t="s">
        <v>206</v>
      </c>
      <c r="C114" s="17" t="s">
        <v>69</v>
      </c>
      <c r="D114" s="18" t="s">
        <v>182</v>
      </c>
      <c r="E114" s="18" t="s">
        <v>199</v>
      </c>
      <c r="F114" s="17">
        <v>3</v>
      </c>
      <c r="G114" s="17">
        <v>22</v>
      </c>
      <c r="H114" s="19" t="str">
        <f t="shared" si="3"/>
        <v>C5-22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42"/>
  <sheetViews>
    <sheetView zoomScaleNormal="100" workbookViewId="0">
      <pane ySplit="4" topLeftCell="A5" activePane="bottomLeft" state="frozen"/>
      <selection pane="bottomLeft" activeCell="J2" sqref="J2"/>
    </sheetView>
  </sheetViews>
  <sheetFormatPr defaultColWidth="8.6640625" defaultRowHeight="14.4" x14ac:dyDescent="0.3"/>
  <cols>
    <col min="1" max="1" width="28.21875" customWidth="1"/>
    <col min="2" max="2" width="22" customWidth="1"/>
    <col min="3" max="3" width="7" customWidth="1"/>
    <col min="4" max="4" width="9" customWidth="1"/>
    <col min="5" max="5" width="26" customWidth="1"/>
    <col min="6" max="6" width="7" customWidth="1"/>
    <col min="7" max="8" width="10" customWidth="1"/>
    <col min="9" max="9" width="4" customWidth="1"/>
    <col min="10" max="10" width="60" customWidth="1"/>
  </cols>
  <sheetData>
    <row r="1" spans="1:8" ht="17.25" customHeight="1" x14ac:dyDescent="0.3">
      <c r="A1" s="1" t="s">
        <v>298</v>
      </c>
    </row>
    <row r="2" spans="1:8" ht="15" customHeight="1" x14ac:dyDescent="0.3">
      <c r="A2" s="2" t="s">
        <v>207</v>
      </c>
    </row>
    <row r="4" spans="1:8" ht="15" customHeight="1" x14ac:dyDescent="0.3">
      <c r="A4" s="12" t="s">
        <v>46</v>
      </c>
      <c r="B4" s="12" t="s">
        <v>47</v>
      </c>
      <c r="C4" s="12" t="s">
        <v>48</v>
      </c>
      <c r="D4" s="12" t="s">
        <v>49</v>
      </c>
      <c r="E4" s="12" t="s">
        <v>50</v>
      </c>
      <c r="F4" s="12" t="s">
        <v>51</v>
      </c>
      <c r="G4" s="12" t="s">
        <v>208</v>
      </c>
      <c r="H4" s="12" t="s">
        <v>209</v>
      </c>
    </row>
    <row r="5" spans="1:8" ht="15" customHeight="1" x14ac:dyDescent="0.3">
      <c r="A5" s="17">
        <v>1</v>
      </c>
      <c r="B5" s="18" t="s">
        <v>55</v>
      </c>
      <c r="C5" s="17" t="str">
        <f>INDEX(BANK!$C$5:$C$114,MATCH($B5,BANK!$B$5:$B$114,0))</f>
        <v>C1</v>
      </c>
      <c r="D5" s="18" t="str">
        <f>INDEX(BANK!$D$5:$D$114,MATCH($B5,BANK!$B$5:$B$114,0))</f>
        <v>GIPS</v>
      </c>
      <c r="E5" s="18" t="str">
        <f>INDEX(BANK!$E$5:$E$114,MATCH($B5,BANK!$B$5:$B$114,0))</f>
        <v>GIPS-fundamentals</v>
      </c>
      <c r="F5" s="17">
        <f>INDEX(BANK!$F$5:$F$114,MATCH($B5,BANK!$B$5:$B$114,0))</f>
        <v>1</v>
      </c>
      <c r="G5" s="20"/>
      <c r="H5" s="21">
        <v>0</v>
      </c>
    </row>
    <row r="6" spans="1:8" ht="15" customHeight="1" x14ac:dyDescent="0.3">
      <c r="A6" s="17">
        <v>2</v>
      </c>
      <c r="B6" s="18" t="s">
        <v>59</v>
      </c>
      <c r="C6" s="17" t="str">
        <f>INDEX(BANK!$C$5:$C$114,MATCH($B6,BANK!$B$5:$B$114,0))</f>
        <v>C1</v>
      </c>
      <c r="D6" s="18" t="str">
        <f>INDEX(BANK!$D$5:$D$114,MATCH($B6,BANK!$B$5:$B$114,0))</f>
        <v>CODE</v>
      </c>
      <c r="E6" s="18" t="str">
        <f>INDEX(BANK!$E$5:$E$114,MATCH($B6,BANK!$B$5:$B$114,0))</f>
        <v>CODE-six-components</v>
      </c>
      <c r="F6" s="17">
        <f>INDEX(BANK!$F$5:$F$114,MATCH($B6,BANK!$B$5:$B$114,0))</f>
        <v>2</v>
      </c>
      <c r="G6" s="20"/>
      <c r="H6" s="21">
        <v>0</v>
      </c>
    </row>
    <row r="7" spans="1:8" ht="15" customHeight="1" x14ac:dyDescent="0.3">
      <c r="A7" s="17">
        <v>3</v>
      </c>
      <c r="B7" s="18" t="s">
        <v>63</v>
      </c>
      <c r="C7" s="17" t="str">
        <f>INDEX(BANK!$C$5:$C$114,MATCH($B7,BANK!$B$5:$B$114,0))</f>
        <v>C1</v>
      </c>
      <c r="D7" s="18" t="str">
        <f>INDEX(BANK!$D$5:$D$114,MATCH($B7,BANK!$B$5:$B$114,0))</f>
        <v>GIPS</v>
      </c>
      <c r="E7" s="18" t="str">
        <f>INDEX(BANK!$E$5:$E$114,MATCH($B7,BANK!$B$5:$B$114,0))</f>
        <v>GIPS-fundamentals</v>
      </c>
      <c r="F7" s="17">
        <f>INDEX(BANK!$F$5:$F$114,MATCH($B7,BANK!$B$5:$B$114,0))</f>
        <v>3</v>
      </c>
      <c r="G7" s="20"/>
      <c r="H7" s="21">
        <v>0</v>
      </c>
    </row>
    <row r="8" spans="1:8" ht="15" customHeight="1" x14ac:dyDescent="0.3">
      <c r="A8" s="17">
        <v>4</v>
      </c>
      <c r="B8" s="18" t="s">
        <v>90</v>
      </c>
      <c r="C8" s="17" t="str">
        <f>INDEX(BANK!$C$5:$C$114,MATCH($B8,BANK!$B$5:$B$114,0))</f>
        <v>C2</v>
      </c>
      <c r="D8" s="18" t="str">
        <f>INDEX(BANK!$D$5:$D$114,MATCH($B8,BANK!$B$5:$B$114,0))</f>
        <v>S1</v>
      </c>
      <c r="E8" s="18" t="str">
        <f>INDEX(BANK!$E$5:$E$114,MATCH($B8,BANK!$B$5:$B$114,0))</f>
        <v>I(A)</v>
      </c>
      <c r="F8" s="17">
        <f>INDEX(BANK!$F$5:$F$114,MATCH($B8,BANK!$B$5:$B$114,0))</f>
        <v>1</v>
      </c>
      <c r="G8" s="20"/>
      <c r="H8" s="21">
        <v>0</v>
      </c>
    </row>
    <row r="9" spans="1:8" ht="15" customHeight="1" x14ac:dyDescent="0.3">
      <c r="A9" s="17">
        <v>5</v>
      </c>
      <c r="B9" s="18" t="s">
        <v>93</v>
      </c>
      <c r="C9" s="17" t="str">
        <f>INDEX(BANK!$C$5:$C$114,MATCH($B9,BANK!$B$5:$B$114,0))</f>
        <v>C2</v>
      </c>
      <c r="D9" s="18" t="str">
        <f>INDEX(BANK!$D$5:$D$114,MATCH($B9,BANK!$B$5:$B$114,0))</f>
        <v>S2</v>
      </c>
      <c r="E9" s="18" t="str">
        <f>INDEX(BANK!$E$5:$E$114,MATCH($B9,BANK!$B$5:$B$114,0))</f>
        <v>II(A)</v>
      </c>
      <c r="F9" s="17">
        <f>INDEX(BANK!$F$5:$F$114,MATCH($B9,BANK!$B$5:$B$114,0))</f>
        <v>2</v>
      </c>
      <c r="G9" s="20"/>
      <c r="H9" s="21">
        <v>0</v>
      </c>
    </row>
    <row r="10" spans="1:8" ht="15" customHeight="1" x14ac:dyDescent="0.3">
      <c r="A10" s="17">
        <v>6</v>
      </c>
      <c r="B10" s="18" t="s">
        <v>96</v>
      </c>
      <c r="C10" s="17" t="str">
        <f>INDEX(BANK!$C$5:$C$114,MATCH($B10,BANK!$B$5:$B$114,0))</f>
        <v>C2</v>
      </c>
      <c r="D10" s="18" t="str">
        <f>INDEX(BANK!$D$5:$D$114,MATCH($B10,BANK!$B$5:$B$114,0))</f>
        <v>S1</v>
      </c>
      <c r="E10" s="18" t="str">
        <f>INDEX(BANK!$E$5:$E$114,MATCH($B10,BANK!$B$5:$B$114,0))</f>
        <v>I(A)</v>
      </c>
      <c r="F10" s="17">
        <f>INDEX(BANK!$F$5:$F$114,MATCH($B10,BANK!$B$5:$B$114,0))</f>
        <v>3</v>
      </c>
      <c r="G10" s="20"/>
      <c r="H10" s="21">
        <v>0</v>
      </c>
    </row>
    <row r="11" spans="1:8" ht="15" customHeight="1" x14ac:dyDescent="0.3">
      <c r="A11" s="17">
        <v>7</v>
      </c>
      <c r="B11" s="18" t="s">
        <v>120</v>
      </c>
      <c r="C11" s="17" t="str">
        <f>INDEX(BANK!$C$5:$C$114,MATCH($B11,BANK!$B$5:$B$114,0))</f>
        <v>C3</v>
      </c>
      <c r="D11" s="18" t="str">
        <f>INDEX(BANK!$D$5:$D$114,MATCH($B11,BANK!$B$5:$B$114,0))</f>
        <v>S3</v>
      </c>
      <c r="E11" s="18" t="str">
        <f>INDEX(BANK!$E$5:$E$114,MATCH($B11,BANK!$B$5:$B$114,0))</f>
        <v>III(C)</v>
      </c>
      <c r="F11" s="17">
        <f>INDEX(BANK!$F$5:$F$114,MATCH($B11,BANK!$B$5:$B$114,0))</f>
        <v>1</v>
      </c>
      <c r="G11" s="20"/>
      <c r="H11" s="21">
        <v>0</v>
      </c>
    </row>
    <row r="12" spans="1:8" ht="15" customHeight="1" x14ac:dyDescent="0.3">
      <c r="A12" s="17">
        <v>8</v>
      </c>
      <c r="B12" s="18" t="s">
        <v>123</v>
      </c>
      <c r="C12" s="17" t="str">
        <f>INDEX(BANK!$C$5:$C$114,MATCH($B12,BANK!$B$5:$B$114,0))</f>
        <v>C3</v>
      </c>
      <c r="D12" s="18" t="str">
        <f>INDEX(BANK!$D$5:$D$114,MATCH($B12,BANK!$B$5:$B$114,0))</f>
        <v>S3</v>
      </c>
      <c r="E12" s="18" t="str">
        <f>INDEX(BANK!$E$5:$E$114,MATCH($B12,BANK!$B$5:$B$114,0))</f>
        <v>III(C)</v>
      </c>
      <c r="F12" s="17">
        <f>INDEX(BANK!$F$5:$F$114,MATCH($B12,BANK!$B$5:$B$114,0))</f>
        <v>2</v>
      </c>
      <c r="G12" s="20"/>
      <c r="H12" s="21">
        <v>0</v>
      </c>
    </row>
    <row r="13" spans="1:8" ht="15" customHeight="1" x14ac:dyDescent="0.3">
      <c r="A13" s="17">
        <v>9</v>
      </c>
      <c r="B13" s="18" t="s">
        <v>124</v>
      </c>
      <c r="C13" s="17" t="str">
        <f>INDEX(BANK!$C$5:$C$114,MATCH($B13,BANK!$B$5:$B$114,0))</f>
        <v>C3</v>
      </c>
      <c r="D13" s="18" t="str">
        <f>INDEX(BANK!$D$5:$D$114,MATCH($B13,BANK!$B$5:$B$114,0))</f>
        <v>S3</v>
      </c>
      <c r="E13" s="18" t="str">
        <f>INDEX(BANK!$E$5:$E$114,MATCH($B13,BANK!$B$5:$B$114,0))</f>
        <v>III(C)</v>
      </c>
      <c r="F13" s="17">
        <f>INDEX(BANK!$F$5:$F$114,MATCH($B13,BANK!$B$5:$B$114,0))</f>
        <v>3</v>
      </c>
      <c r="G13" s="20"/>
      <c r="H13" s="21">
        <v>0</v>
      </c>
    </row>
    <row r="14" spans="1:8" ht="15" customHeight="1" x14ac:dyDescent="0.3">
      <c r="A14" s="17">
        <v>10</v>
      </c>
      <c r="B14" s="18" t="s">
        <v>148</v>
      </c>
      <c r="C14" s="17" t="str">
        <f>INDEX(BANK!$C$5:$C$114,MATCH($B14,BANK!$B$5:$B$114,0))</f>
        <v>C4</v>
      </c>
      <c r="D14" s="18" t="str">
        <f>INDEX(BANK!$D$5:$D$114,MATCH($B14,BANK!$B$5:$B$114,0))</f>
        <v>S4</v>
      </c>
      <c r="E14" s="18" t="str">
        <f>INDEX(BANK!$E$5:$E$114,MATCH($B14,BANK!$B$5:$B$114,0))</f>
        <v>IV(B)</v>
      </c>
      <c r="F14" s="17">
        <f>INDEX(BANK!$F$5:$F$114,MATCH($B14,BANK!$B$5:$B$114,0))</f>
        <v>1</v>
      </c>
      <c r="G14" s="20"/>
      <c r="H14" s="21">
        <v>0</v>
      </c>
    </row>
    <row r="15" spans="1:8" ht="15" customHeight="1" x14ac:dyDescent="0.3">
      <c r="A15" s="17">
        <v>11</v>
      </c>
      <c r="B15" s="18" t="s">
        <v>151</v>
      </c>
      <c r="C15" s="17" t="str">
        <f>INDEX(BANK!$C$5:$C$114,MATCH($B15,BANK!$B$5:$B$114,0))</f>
        <v>C4</v>
      </c>
      <c r="D15" s="18" t="str">
        <f>INDEX(BANK!$D$5:$D$114,MATCH($B15,BANK!$B$5:$B$114,0))</f>
        <v>S5</v>
      </c>
      <c r="E15" s="18" t="str">
        <f>INDEX(BANK!$E$5:$E$114,MATCH($B15,BANK!$B$5:$B$114,0))</f>
        <v>V(A)</v>
      </c>
      <c r="F15" s="17">
        <f>INDEX(BANK!$F$5:$F$114,MATCH($B15,BANK!$B$5:$B$114,0))</f>
        <v>2</v>
      </c>
      <c r="G15" s="20"/>
      <c r="H15" s="21">
        <v>0</v>
      </c>
    </row>
    <row r="16" spans="1:8" ht="15" customHeight="1" x14ac:dyDescent="0.3">
      <c r="A16" s="17">
        <v>12</v>
      </c>
      <c r="B16" s="18" t="s">
        <v>154</v>
      </c>
      <c r="C16" s="17" t="str">
        <f>INDEX(BANK!$C$5:$C$114,MATCH($B16,BANK!$B$5:$B$114,0))</f>
        <v>C4</v>
      </c>
      <c r="D16" s="18" t="str">
        <f>INDEX(BANK!$D$5:$D$114,MATCH($B16,BANK!$B$5:$B$114,0))</f>
        <v>S4</v>
      </c>
      <c r="E16" s="18" t="str">
        <f>INDEX(BANK!$E$5:$E$114,MATCH($B16,BANK!$B$5:$B$114,0))</f>
        <v>IV(A)</v>
      </c>
      <c r="F16" s="17">
        <f>INDEX(BANK!$F$5:$F$114,MATCH($B16,BANK!$B$5:$B$114,0))</f>
        <v>3</v>
      </c>
      <c r="G16" s="20"/>
      <c r="H16" s="21">
        <v>0</v>
      </c>
    </row>
    <row r="17" spans="1:8" ht="15" customHeight="1" x14ac:dyDescent="0.3">
      <c r="A17" s="17">
        <v>13</v>
      </c>
      <c r="B17" s="18" t="s">
        <v>178</v>
      </c>
      <c r="C17" s="17" t="str">
        <f>INDEX(BANK!$C$5:$C$114,MATCH($B17,BANK!$B$5:$B$114,0))</f>
        <v>C5</v>
      </c>
      <c r="D17" s="18" t="str">
        <f>INDEX(BANK!$D$5:$D$114,MATCH($B17,BANK!$B$5:$B$114,0))</f>
        <v>S6</v>
      </c>
      <c r="E17" s="18" t="str">
        <f>INDEX(BANK!$E$5:$E$114,MATCH($B17,BANK!$B$5:$B$114,0))</f>
        <v>VI(A)</v>
      </c>
      <c r="F17" s="17">
        <f>INDEX(BANK!$F$5:$F$114,MATCH($B17,BANK!$B$5:$B$114,0))</f>
        <v>1</v>
      </c>
      <c r="G17" s="20"/>
      <c r="H17" s="21">
        <v>0</v>
      </c>
    </row>
    <row r="18" spans="1:8" ht="15" customHeight="1" x14ac:dyDescent="0.3">
      <c r="A18" s="17">
        <v>14</v>
      </c>
      <c r="B18" s="18" t="s">
        <v>181</v>
      </c>
      <c r="C18" s="17" t="str">
        <f>INDEX(BANK!$C$5:$C$114,MATCH($B18,BANK!$B$5:$B$114,0))</f>
        <v>C5</v>
      </c>
      <c r="D18" s="18" t="str">
        <f>INDEX(BANK!$D$5:$D$114,MATCH($B18,BANK!$B$5:$B$114,0))</f>
        <v>S7</v>
      </c>
      <c r="E18" s="18" t="str">
        <f>INDEX(BANK!$E$5:$E$114,MATCH($B18,BANK!$B$5:$B$114,0))</f>
        <v>VII(A)</v>
      </c>
      <c r="F18" s="17">
        <f>INDEX(BANK!$F$5:$F$114,MATCH($B18,BANK!$B$5:$B$114,0))</f>
        <v>2</v>
      </c>
      <c r="G18" s="20"/>
      <c r="H18" s="21">
        <v>0</v>
      </c>
    </row>
    <row r="19" spans="1:8" ht="15" customHeight="1" x14ac:dyDescent="0.3">
      <c r="A19" s="17">
        <v>15</v>
      </c>
      <c r="B19" s="18" t="s">
        <v>184</v>
      </c>
      <c r="C19" s="17" t="str">
        <f>INDEX(BANK!$C$5:$C$114,MATCH($B19,BANK!$B$5:$B$114,0))</f>
        <v>C5</v>
      </c>
      <c r="D19" s="18" t="str">
        <f>INDEX(BANK!$D$5:$D$114,MATCH($B19,BANK!$B$5:$B$114,0))</f>
        <v>S6</v>
      </c>
      <c r="E19" s="18" t="str">
        <f>INDEX(BANK!$E$5:$E$114,MATCH($B19,BANK!$B$5:$B$114,0))</f>
        <v>VI(A)</v>
      </c>
      <c r="F19" s="17">
        <f>INDEX(BANK!$F$5:$F$114,MATCH($B19,BANK!$B$5:$B$114,0))</f>
        <v>3</v>
      </c>
      <c r="G19" s="20"/>
      <c r="H19" s="21">
        <v>0</v>
      </c>
    </row>
    <row r="21" spans="1:8" ht="15" customHeight="1" x14ac:dyDescent="0.3">
      <c r="A21" s="3" t="s">
        <v>210</v>
      </c>
    </row>
    <row r="22" spans="1:8" ht="15" customHeight="1" x14ac:dyDescent="0.3">
      <c r="A22" s="4" t="s">
        <v>211</v>
      </c>
      <c r="B22" s="16">
        <f>COUNT($G$5:$G$19)</f>
        <v>0</v>
      </c>
    </row>
    <row r="23" spans="1:8" ht="15" customHeight="1" x14ac:dyDescent="0.3">
      <c r="A23" s="4" t="s">
        <v>212</v>
      </c>
      <c r="B23" s="16">
        <f>SUM($G$5:$G$19)</f>
        <v>0</v>
      </c>
    </row>
    <row r="24" spans="1:8" ht="15" customHeight="1" x14ac:dyDescent="0.3">
      <c r="A24" s="4" t="s">
        <v>213</v>
      </c>
      <c r="B24" s="16">
        <f>COUNTA($B$5:$B$19)</f>
        <v>15</v>
      </c>
    </row>
    <row r="25" spans="1:8" ht="15" customHeight="1" x14ac:dyDescent="0.3">
      <c r="A25" s="4" t="s">
        <v>214</v>
      </c>
      <c r="B25" s="22">
        <f>IFERROR($B$23/$B$24,"")</f>
        <v>0</v>
      </c>
      <c r="C25" s="2" t="s">
        <v>215</v>
      </c>
    </row>
    <row r="26" spans="1:8" ht="15" customHeight="1" x14ac:dyDescent="0.3">
      <c r="A26" s="4" t="s">
        <v>216</v>
      </c>
      <c r="B26" s="23">
        <f>HUONG_DAN!$B$22</f>
        <v>0.7</v>
      </c>
    </row>
    <row r="27" spans="1:8" ht="15" customHeight="1" x14ac:dyDescent="0.3">
      <c r="A27" s="4" t="s">
        <v>217</v>
      </c>
      <c r="B27" s="24" t="str">
        <f>IF($B$22&lt;$B$24,"CHƯA XONG",IF($B$25&gt;=$B$26,"PASS","FAIL"))</f>
        <v>CHƯA XONG</v>
      </c>
      <c r="C27" s="2" t="s">
        <v>218</v>
      </c>
    </row>
    <row r="28" spans="1:8" ht="15" customHeight="1" x14ac:dyDescent="0.3">
      <c r="A28" s="4" t="s">
        <v>219</v>
      </c>
      <c r="B28" s="16">
        <f>IF($B$27&lt;&gt;"PASS",0,IF($B$25&lt;0.8,2,IF($B$25&lt;0.9,3,4)))</f>
        <v>0</v>
      </c>
    </row>
    <row r="29" spans="1:8" ht="15" customHeight="1" x14ac:dyDescent="0.3">
      <c r="A29" s="4" t="s">
        <v>220</v>
      </c>
      <c r="B29" s="45">
        <f>HUONG_DAN!$B$23+$B$28</f>
        <v>3</v>
      </c>
    </row>
    <row r="31" spans="1:8" ht="15" customHeight="1" x14ac:dyDescent="0.3">
      <c r="A31" s="4" t="s">
        <v>221</v>
      </c>
      <c r="B31" s="7" t="str">
        <f>IF(SUM($H$5:$H$19)=0,"OK — Arena này không được dùng vật phẩm","LỖI — luật cấm dùng vật phẩm ở Arena này")</f>
        <v>OK — Arena này không được dùng vật phẩm</v>
      </c>
    </row>
    <row r="32" spans="1:8" ht="15" customHeight="1" x14ac:dyDescent="0.3">
      <c r="A32" s="4" t="s">
        <v>222</v>
      </c>
      <c r="B32" s="25" t="str">
        <f>IF($B$27="FAIL","LET'S RETRY! — Arena 1 dưới ngưỡng, lượt chơi kết thúc, các Arena sau không tải câu hỏi.",IF($B$27="CHƯA XONG","Nhập đủ 15 đáp án để mở Trap I.","Đã qua Arena 1 — Trap I đã mở."))</f>
        <v>Nhập đủ 15 đáp án để mở Trap I.</v>
      </c>
    </row>
    <row r="34" spans="1:4" ht="15" customHeight="1" x14ac:dyDescent="0.3">
      <c r="A34" s="3" t="s">
        <v>223</v>
      </c>
    </row>
    <row r="35" spans="1:4" ht="15" customHeight="1" x14ac:dyDescent="0.3">
      <c r="A35" s="12" t="s">
        <v>48</v>
      </c>
      <c r="B35" s="12" t="s">
        <v>224</v>
      </c>
      <c r="C35" s="12" t="s">
        <v>225</v>
      </c>
      <c r="D35" s="12" t="s">
        <v>226</v>
      </c>
    </row>
    <row r="36" spans="1:4" ht="15" customHeight="1" x14ac:dyDescent="0.3">
      <c r="A36" s="26" t="s">
        <v>56</v>
      </c>
      <c r="B36" s="17">
        <f>SUMIFS(ARENA_1!$G$5:$G$19,ARENA_1!$C$5:$C$19,$A36,ARENA_1!$H$5:$H$19,0)</f>
        <v>0</v>
      </c>
      <c r="C36" s="17">
        <f>COUNTIFS(ARENA_1!$C$5:$C$19,$A36,ARENA_1!$H$5:$H$19,0)</f>
        <v>3</v>
      </c>
      <c r="D36" s="27">
        <f>IFERROR($B36/$C36,"")</f>
        <v>0</v>
      </c>
    </row>
    <row r="37" spans="1:4" ht="15" customHeight="1" x14ac:dyDescent="0.3">
      <c r="A37" s="26" t="s">
        <v>62</v>
      </c>
      <c r="B37" s="17">
        <f>SUMIFS(ARENA_1!$G$5:$G$19,ARENA_1!$C$5:$C$19,$A37,ARENA_1!$H$5:$H$19,0)</f>
        <v>0</v>
      </c>
      <c r="C37" s="17">
        <f>COUNTIFS(ARENA_1!$C$5:$C$19,$A37,ARENA_1!$H$5:$H$19,0)</f>
        <v>3</v>
      </c>
      <c r="D37" s="27">
        <f>IFERROR($B37/$C37,"")</f>
        <v>0</v>
      </c>
    </row>
    <row r="38" spans="1:4" ht="15" customHeight="1" x14ac:dyDescent="0.3">
      <c r="A38" s="26" t="s">
        <v>64</v>
      </c>
      <c r="B38" s="17">
        <f>SUMIFS(ARENA_1!$G$5:$G$19,ARENA_1!$C$5:$C$19,$A38,ARENA_1!$H$5:$H$19,0)</f>
        <v>0</v>
      </c>
      <c r="C38" s="17">
        <f>COUNTIFS(ARENA_1!$C$5:$C$19,$A38,ARENA_1!$H$5:$H$19,0)</f>
        <v>3</v>
      </c>
      <c r="D38" s="27">
        <f>IFERROR($B38/$C38,"")</f>
        <v>0</v>
      </c>
    </row>
    <row r="39" spans="1:4" ht="15" customHeight="1" x14ac:dyDescent="0.3">
      <c r="A39" s="26" t="s">
        <v>66</v>
      </c>
      <c r="B39" s="17">
        <f>SUMIFS(ARENA_1!$G$5:$G$19,ARENA_1!$C$5:$C$19,$A39,ARENA_1!$H$5:$H$19,0)</f>
        <v>0</v>
      </c>
      <c r="C39" s="17">
        <f>COUNTIFS(ARENA_1!$C$5:$C$19,$A39,ARENA_1!$H$5:$H$19,0)</f>
        <v>3</v>
      </c>
      <c r="D39" s="27">
        <f>IFERROR($B39/$C39,"")</f>
        <v>0</v>
      </c>
    </row>
    <row r="40" spans="1:4" ht="15" customHeight="1" x14ac:dyDescent="0.3">
      <c r="A40" s="26" t="s">
        <v>69</v>
      </c>
      <c r="B40" s="17">
        <f>SUMIFS(ARENA_1!$G$5:$G$19,ARENA_1!$C$5:$C$19,$A40,ARENA_1!$H$5:$H$19,0)</f>
        <v>0</v>
      </c>
      <c r="C40" s="17">
        <f>COUNTIFS(ARENA_1!$C$5:$C$19,$A40,ARENA_1!$H$5:$H$19,0)</f>
        <v>3</v>
      </c>
      <c r="D40" s="27">
        <f>IFERROR($B40/$C40,"")</f>
        <v>0</v>
      </c>
    </row>
    <row r="42" spans="1:4" ht="15" customHeight="1" x14ac:dyDescent="0.3">
      <c r="A42" s="4" t="s">
        <v>227</v>
      </c>
      <c r="B42" s="28" t="str">
        <f>IF($B$27&lt;&gt;"PASS","—",INDEX($A$36:$A$40,MATCH(MIN($D$36:$D$40),$D$36:$D$40,0)))</f>
        <v>—</v>
      </c>
      <c r="C42" s="2" t="s">
        <v>228</v>
      </c>
    </row>
  </sheetData>
  <dataValidations count="1">
    <dataValidation type="list" allowBlank="1" sqref="G5:G19" xr:uid="{00000000-0002-0000-0200-000000000000}">
      <formula1>"0,1"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XoaTatCaDapAn">
                <anchor moveWithCells="1" sizeWithCells="1">
                  <from>
                    <xdr:col>4</xdr:col>
                    <xdr:colOff>1714500</xdr:colOff>
                    <xdr:row>0</xdr:row>
                    <xdr:rowOff>121920</xdr:rowOff>
                  </from>
                  <to>
                    <xdr:col>8</xdr:col>
                    <xdr:colOff>137160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35"/>
  <sheetViews>
    <sheetView zoomScaleNormal="100" workbookViewId="0">
      <pane ySplit="5" topLeftCell="A6" activePane="bottomLeft" state="frozen"/>
      <selection pane="bottomLeft" activeCell="I6" sqref="I6"/>
    </sheetView>
  </sheetViews>
  <sheetFormatPr defaultColWidth="8.6640625" defaultRowHeight="14.4" x14ac:dyDescent="0.3"/>
  <cols>
    <col min="1" max="1" width="30" customWidth="1"/>
    <col min="2" max="3" width="8" customWidth="1"/>
    <col min="4" max="4" width="22" customWidth="1"/>
    <col min="5" max="5" width="7" customWidth="1"/>
    <col min="6" max="6" width="9" customWidth="1"/>
    <col min="7" max="7" width="26" customWidth="1"/>
    <col min="8" max="8" width="9.6640625" customWidth="1"/>
    <col min="9" max="10" width="10" customWidth="1"/>
  </cols>
  <sheetData>
    <row r="1" spans="1:10" ht="17.25" customHeight="1" x14ac:dyDescent="0.3">
      <c r="A1" s="1" t="s">
        <v>229</v>
      </c>
    </row>
    <row r="2" spans="1:10" ht="15" customHeight="1" x14ac:dyDescent="0.3">
      <c r="A2" s="2" t="s">
        <v>230</v>
      </c>
    </row>
    <row r="3" spans="1:10" ht="15" customHeight="1" x14ac:dyDescent="0.3">
      <c r="A3" s="29" t="s">
        <v>231</v>
      </c>
      <c r="B3" s="28" t="str">
        <f>IF(ARENA_1!$B$27&lt;&gt;"PASS","—",ARENA_1!$B$42)</f>
        <v>—</v>
      </c>
      <c r="D3" s="30" t="str">
        <f>IF(ARENA_1!$B$27="FAIL","LET'S RETRY! — Arena 1 chưa đạt ngưỡng, không tải câu hỏi.",IF(ARENA_1!$B$27="CHƯA XONG","Chưa nhập đủ đáp án Arena 1.",""))</f>
        <v>Chưa nhập đủ đáp án Arena 1.</v>
      </c>
    </row>
    <row r="5" spans="1:10" ht="15" customHeight="1" x14ac:dyDescent="0.3">
      <c r="A5" s="12" t="s">
        <v>46</v>
      </c>
      <c r="B5" s="12" t="s">
        <v>232</v>
      </c>
      <c r="C5" s="12" t="s">
        <v>233</v>
      </c>
      <c r="D5" s="12" t="s">
        <v>47</v>
      </c>
      <c r="E5" s="12" t="s">
        <v>48</v>
      </c>
      <c r="F5" s="12" t="s">
        <v>49</v>
      </c>
      <c r="G5" s="12" t="s">
        <v>50</v>
      </c>
      <c r="H5" s="12" t="s">
        <v>51</v>
      </c>
      <c r="I5" s="12" t="s">
        <v>208</v>
      </c>
      <c r="J5" s="12" t="s">
        <v>209</v>
      </c>
    </row>
    <row r="6" spans="1:10" ht="15" customHeight="1" x14ac:dyDescent="0.3">
      <c r="A6" s="17">
        <v>1</v>
      </c>
      <c r="B6" s="19" t="str">
        <f t="shared" ref="B6:B15" si="0">IF($E6="","",3+$A6)</f>
        <v/>
      </c>
      <c r="C6" s="19" t="str">
        <f>IF($B6="","",MATCH($E6&amp;"-"&amp;$B6,BANK!$H$5:$H$114,0))</f>
        <v/>
      </c>
      <c r="D6" s="18" t="str">
        <f>IF($C6="","—",INDEX(BANK!$B$5:$B$114,$C6))</f>
        <v>—</v>
      </c>
      <c r="E6" s="17" t="str">
        <f>IF(ARENA_1!$B$27&lt;&gt;"PASS","",ARENA_1!$B$42)</f>
        <v/>
      </c>
      <c r="F6" s="18" t="str">
        <f>IF($C6="","",INDEX(BANK!$D$5:$D$114,$C6))</f>
        <v/>
      </c>
      <c r="G6" s="18" t="str">
        <f>IF($C6="","",INDEX(BANK!$E$5:$E$114,$C6))</f>
        <v/>
      </c>
      <c r="H6" s="17" t="str">
        <f>IF($C6="","",INDEX(BANK!$F$5:$F$114,$C6))</f>
        <v/>
      </c>
      <c r="I6" s="20"/>
      <c r="J6" s="20"/>
    </row>
    <row r="7" spans="1:10" ht="15" customHeight="1" x14ac:dyDescent="0.3">
      <c r="A7" s="17">
        <v>2</v>
      </c>
      <c r="B7" s="19" t="str">
        <f t="shared" si="0"/>
        <v/>
      </c>
      <c r="C7" s="19" t="str">
        <f>IF($B7="","",MATCH($E7&amp;"-"&amp;$B7,BANK!$H$5:$H$114,0))</f>
        <v/>
      </c>
      <c r="D7" s="18" t="str">
        <f>IF($C7="","—",INDEX(BANK!$B$5:$B$114,$C7))</f>
        <v>—</v>
      </c>
      <c r="E7" s="17" t="str">
        <f>IF(ARENA_1!$B$27&lt;&gt;"PASS","",ARENA_1!$B$42)</f>
        <v/>
      </c>
      <c r="F7" s="18" t="str">
        <f>IF($C7="","",INDEX(BANK!$D$5:$D$114,$C7))</f>
        <v/>
      </c>
      <c r="G7" s="18" t="str">
        <f>IF($C7="","",INDEX(BANK!$E$5:$E$114,$C7))</f>
        <v/>
      </c>
      <c r="H7" s="17" t="str">
        <f>IF($C7="","",INDEX(BANK!$F$5:$F$114,$C7))</f>
        <v/>
      </c>
      <c r="I7" s="20"/>
      <c r="J7" s="20"/>
    </row>
    <row r="8" spans="1:10" ht="15" customHeight="1" x14ac:dyDescent="0.3">
      <c r="A8" s="17">
        <v>3</v>
      </c>
      <c r="B8" s="19" t="str">
        <f t="shared" si="0"/>
        <v/>
      </c>
      <c r="C8" s="19" t="str">
        <f>IF($B8="","",MATCH($E8&amp;"-"&amp;$B8,BANK!$H$5:$H$114,0))</f>
        <v/>
      </c>
      <c r="D8" s="18" t="str">
        <f>IF($C8="","—",INDEX(BANK!$B$5:$B$114,$C8))</f>
        <v>—</v>
      </c>
      <c r="E8" s="17" t="str">
        <f>IF(ARENA_1!$B$27&lt;&gt;"PASS","",ARENA_1!$B$42)</f>
        <v/>
      </c>
      <c r="F8" s="18" t="str">
        <f>IF($C8="","",INDEX(BANK!$D$5:$D$114,$C8))</f>
        <v/>
      </c>
      <c r="G8" s="18" t="str">
        <f>IF($C8="","",INDEX(BANK!$E$5:$E$114,$C8))</f>
        <v/>
      </c>
      <c r="H8" s="17" t="str">
        <f>IF($C8="","",INDEX(BANK!$F$5:$F$114,$C8))</f>
        <v/>
      </c>
      <c r="I8" s="20"/>
      <c r="J8" s="20"/>
    </row>
    <row r="9" spans="1:10" ht="15" customHeight="1" x14ac:dyDescent="0.3">
      <c r="A9" s="17">
        <v>4</v>
      </c>
      <c r="B9" s="19" t="str">
        <f t="shared" si="0"/>
        <v/>
      </c>
      <c r="C9" s="19" t="str">
        <f>IF($B9="","",MATCH($E9&amp;"-"&amp;$B9,BANK!$H$5:$H$114,0))</f>
        <v/>
      </c>
      <c r="D9" s="18" t="str">
        <f>IF($C9="","—",INDEX(BANK!$B$5:$B$114,$C9))</f>
        <v>—</v>
      </c>
      <c r="E9" s="17" t="str">
        <f>IF(ARENA_1!$B$27&lt;&gt;"PASS","",ARENA_1!$B$42)</f>
        <v/>
      </c>
      <c r="F9" s="18" t="str">
        <f>IF($C9="","",INDEX(BANK!$D$5:$D$114,$C9))</f>
        <v/>
      </c>
      <c r="G9" s="18" t="str">
        <f>IF($C9="","",INDEX(BANK!$E$5:$E$114,$C9))</f>
        <v/>
      </c>
      <c r="H9" s="17" t="str">
        <f>IF($C9="","",INDEX(BANK!$F$5:$F$114,$C9))</f>
        <v/>
      </c>
      <c r="I9" s="20"/>
      <c r="J9" s="20"/>
    </row>
    <row r="10" spans="1:10" ht="15" customHeight="1" x14ac:dyDescent="0.3">
      <c r="A10" s="17">
        <v>5</v>
      </c>
      <c r="B10" s="19" t="str">
        <f t="shared" si="0"/>
        <v/>
      </c>
      <c r="C10" s="19" t="str">
        <f>IF($B10="","",MATCH($E10&amp;"-"&amp;$B10,BANK!$H$5:$H$114,0))</f>
        <v/>
      </c>
      <c r="D10" s="18" t="str">
        <f>IF($C10="","—",INDEX(BANK!$B$5:$B$114,$C10))</f>
        <v>—</v>
      </c>
      <c r="E10" s="17" t="str">
        <f>IF(ARENA_1!$B$27&lt;&gt;"PASS","",ARENA_1!$B$42)</f>
        <v/>
      </c>
      <c r="F10" s="18" t="str">
        <f>IF($C10="","",INDEX(BANK!$D$5:$D$114,$C10))</f>
        <v/>
      </c>
      <c r="G10" s="18" t="str">
        <f>IF($C10="","",INDEX(BANK!$E$5:$E$114,$C10))</f>
        <v/>
      </c>
      <c r="H10" s="17" t="str">
        <f>IF($C10="","",INDEX(BANK!$F$5:$F$114,$C10))</f>
        <v/>
      </c>
      <c r="I10" s="20"/>
      <c r="J10" s="20"/>
    </row>
    <row r="11" spans="1:10" ht="15" customHeight="1" x14ac:dyDescent="0.3">
      <c r="A11" s="17">
        <v>6</v>
      </c>
      <c r="B11" s="19" t="str">
        <f t="shared" si="0"/>
        <v/>
      </c>
      <c r="C11" s="19" t="str">
        <f>IF($B11="","",MATCH($E11&amp;"-"&amp;$B11,BANK!$H$5:$H$114,0))</f>
        <v/>
      </c>
      <c r="D11" s="18" t="str">
        <f>IF($C11="","—",INDEX(BANK!$B$5:$B$114,$C11))</f>
        <v>—</v>
      </c>
      <c r="E11" s="17" t="str">
        <f>IF(ARENA_1!$B$27&lt;&gt;"PASS","",ARENA_1!$B$42)</f>
        <v/>
      </c>
      <c r="F11" s="18" t="str">
        <f>IF($C11="","",INDEX(BANK!$D$5:$D$114,$C11))</f>
        <v/>
      </c>
      <c r="G11" s="18" t="str">
        <f>IF($C11="","",INDEX(BANK!$E$5:$E$114,$C11))</f>
        <v/>
      </c>
      <c r="H11" s="17" t="str">
        <f>IF($C11="","",INDEX(BANK!$F$5:$F$114,$C11))</f>
        <v/>
      </c>
      <c r="I11" s="20"/>
      <c r="J11" s="20"/>
    </row>
    <row r="12" spans="1:10" ht="15" customHeight="1" x14ac:dyDescent="0.3">
      <c r="A12" s="17">
        <v>7</v>
      </c>
      <c r="B12" s="19" t="str">
        <f t="shared" si="0"/>
        <v/>
      </c>
      <c r="C12" s="19" t="str">
        <f>IF($B12="","",MATCH($E12&amp;"-"&amp;$B12,BANK!$H$5:$H$114,0))</f>
        <v/>
      </c>
      <c r="D12" s="18" t="str">
        <f>IF($C12="","—",INDEX(BANK!$B$5:$B$114,$C12))</f>
        <v>—</v>
      </c>
      <c r="E12" s="17" t="str">
        <f>IF(ARENA_1!$B$27&lt;&gt;"PASS","",ARENA_1!$B$42)</f>
        <v/>
      </c>
      <c r="F12" s="18" t="str">
        <f>IF($C12="","",INDEX(BANK!$D$5:$D$114,$C12))</f>
        <v/>
      </c>
      <c r="G12" s="18" t="str">
        <f>IF($C12="","",INDEX(BANK!$E$5:$E$114,$C12))</f>
        <v/>
      </c>
      <c r="H12" s="17" t="str">
        <f>IF($C12="","",INDEX(BANK!$F$5:$F$114,$C12))</f>
        <v/>
      </c>
      <c r="I12" s="20"/>
      <c r="J12" s="20"/>
    </row>
    <row r="13" spans="1:10" ht="15" customHeight="1" x14ac:dyDescent="0.3">
      <c r="A13" s="17">
        <v>8</v>
      </c>
      <c r="B13" s="19" t="str">
        <f t="shared" si="0"/>
        <v/>
      </c>
      <c r="C13" s="19" t="str">
        <f>IF($B13="","",MATCH($E13&amp;"-"&amp;$B13,BANK!$H$5:$H$114,0))</f>
        <v/>
      </c>
      <c r="D13" s="18" t="str">
        <f>IF($C13="","—",INDEX(BANK!$B$5:$B$114,$C13))</f>
        <v>—</v>
      </c>
      <c r="E13" s="17" t="str">
        <f>IF(ARENA_1!$B$27&lt;&gt;"PASS","",ARENA_1!$B$42)</f>
        <v/>
      </c>
      <c r="F13" s="18" t="str">
        <f>IF($C13="","",INDEX(BANK!$D$5:$D$114,$C13))</f>
        <v/>
      </c>
      <c r="G13" s="18" t="str">
        <f>IF($C13="","",INDEX(BANK!$E$5:$E$114,$C13))</f>
        <v/>
      </c>
      <c r="H13" s="17" t="str">
        <f>IF($C13="","",INDEX(BANK!$F$5:$F$114,$C13))</f>
        <v/>
      </c>
      <c r="I13" s="20"/>
      <c r="J13" s="20"/>
    </row>
    <row r="14" spans="1:10" ht="15" customHeight="1" x14ac:dyDescent="0.3">
      <c r="A14" s="17">
        <v>9</v>
      </c>
      <c r="B14" s="19" t="str">
        <f t="shared" si="0"/>
        <v/>
      </c>
      <c r="C14" s="19" t="str">
        <f>IF($B14="","",MATCH($E14&amp;"-"&amp;$B14,BANK!$H$5:$H$114,0))</f>
        <v/>
      </c>
      <c r="D14" s="18" t="str">
        <f>IF($C14="","—",INDEX(BANK!$B$5:$B$114,$C14))</f>
        <v>—</v>
      </c>
      <c r="E14" s="17" t="str">
        <f>IF(ARENA_1!$B$27&lt;&gt;"PASS","",ARENA_1!$B$42)</f>
        <v/>
      </c>
      <c r="F14" s="18" t="str">
        <f>IF($C14="","",INDEX(BANK!$D$5:$D$114,$C14))</f>
        <v/>
      </c>
      <c r="G14" s="18" t="str">
        <f>IF($C14="","",INDEX(BANK!$E$5:$E$114,$C14))</f>
        <v/>
      </c>
      <c r="H14" s="17" t="str">
        <f>IF($C14="","",INDEX(BANK!$F$5:$F$114,$C14))</f>
        <v/>
      </c>
      <c r="I14" s="20"/>
      <c r="J14" s="20"/>
    </row>
    <row r="15" spans="1:10" ht="15" customHeight="1" x14ac:dyDescent="0.3">
      <c r="A15" s="17">
        <v>10</v>
      </c>
      <c r="B15" s="19" t="str">
        <f t="shared" si="0"/>
        <v/>
      </c>
      <c r="C15" s="19" t="str">
        <f>IF($B15="","",MATCH($E15&amp;"-"&amp;$B15,BANK!$H$5:$H$114,0))</f>
        <v/>
      </c>
      <c r="D15" s="18" t="str">
        <f>IF($C15="","—",INDEX(BANK!$B$5:$B$114,$C15))</f>
        <v>—</v>
      </c>
      <c r="E15" s="17" t="str">
        <f>IF(ARENA_1!$B$27&lt;&gt;"PASS","",ARENA_1!$B$42)</f>
        <v/>
      </c>
      <c r="F15" s="18" t="str">
        <f>IF($C15="","",INDEX(BANK!$D$5:$D$114,$C15))</f>
        <v/>
      </c>
      <c r="G15" s="18" t="str">
        <f>IF($C15="","",INDEX(BANK!$E$5:$E$114,$C15))</f>
        <v/>
      </c>
      <c r="H15" s="17" t="str">
        <f>IF($C15="","",INDEX(BANK!$F$5:$F$114,$C15))</f>
        <v/>
      </c>
      <c r="I15" s="20"/>
      <c r="J15" s="20"/>
    </row>
    <row r="17" spans="1:4" ht="15" customHeight="1" x14ac:dyDescent="0.3">
      <c r="A17" s="3" t="s">
        <v>210</v>
      </c>
    </row>
    <row r="18" spans="1:4" ht="15" customHeight="1" x14ac:dyDescent="0.3">
      <c r="A18" s="4" t="s">
        <v>211</v>
      </c>
      <c r="B18" s="16">
        <f>COUNT($I$6:$I$15)</f>
        <v>0</v>
      </c>
    </row>
    <row r="19" spans="1:4" ht="15" customHeight="1" x14ac:dyDescent="0.3">
      <c r="A19" s="4" t="s">
        <v>212</v>
      </c>
      <c r="B19" s="16">
        <f>SUM($I$6:$I$15)</f>
        <v>0</v>
      </c>
    </row>
    <row r="20" spans="1:4" ht="15" customHeight="1" x14ac:dyDescent="0.3">
      <c r="A20" s="4" t="s">
        <v>213</v>
      </c>
      <c r="B20" s="16">
        <f>IF(ARENA_1!$B$27&lt;&gt;"PASS",0,10)</f>
        <v>0</v>
      </c>
    </row>
    <row r="21" spans="1:4" ht="15" customHeight="1" x14ac:dyDescent="0.3">
      <c r="A21" s="4" t="s">
        <v>214</v>
      </c>
      <c r="B21" s="22" t="str">
        <f>IFERROR($B$19/$B$20,"")</f>
        <v/>
      </c>
      <c r="C21" s="2" t="s">
        <v>215</v>
      </c>
    </row>
    <row r="22" spans="1:4" ht="15" customHeight="1" x14ac:dyDescent="0.3">
      <c r="A22" s="4" t="s">
        <v>216</v>
      </c>
      <c r="B22" s="23">
        <f>HUONG_DAN!$B$22</f>
        <v>0.7</v>
      </c>
    </row>
    <row r="23" spans="1:4" ht="15" customHeight="1" x14ac:dyDescent="0.3">
      <c r="A23" s="4" t="s">
        <v>217</v>
      </c>
      <c r="B23" s="24" t="str">
        <f>IF(ARENA_1!$B$27&lt;&gt;"PASS","KHÓA",IF($B$18&lt;$B$20,"CHƯA XONG",IF($B$21&gt;=$B$22,"PASS","FAIL")))</f>
        <v>KHÓA</v>
      </c>
      <c r="C23" s="2" t="s">
        <v>218</v>
      </c>
    </row>
    <row r="24" spans="1:4" ht="15" customHeight="1" x14ac:dyDescent="0.3">
      <c r="A24" s="4" t="s">
        <v>219</v>
      </c>
      <c r="B24" s="16">
        <f>IF($B$23&lt;&gt;"PASS",0,IF($B$21&lt;0.8,2,IF($B$21&lt;0.9,3,4)))</f>
        <v>0</v>
      </c>
    </row>
    <row r="25" spans="1:4" ht="15" customHeight="1" x14ac:dyDescent="0.3">
      <c r="A25" s="4" t="s">
        <v>220</v>
      </c>
      <c r="B25" s="45">
        <f>ARENA_1!$B$29+$B$24-$B$26</f>
        <v>3</v>
      </c>
      <c r="C25" s="2" t="s">
        <v>234</v>
      </c>
    </row>
    <row r="26" spans="1:4" x14ac:dyDescent="0.3">
      <c r="A26" s="4" t="s">
        <v>235</v>
      </c>
      <c r="B26" s="45">
        <f>IF($B$23="KHÓA",0,SUM($J$6:$J$15)*HUONG_DAN!$B$26)</f>
        <v>0</v>
      </c>
      <c r="C26" s="2" t="s">
        <v>236</v>
      </c>
    </row>
    <row r="27" spans="1:4" ht="15" customHeight="1" x14ac:dyDescent="0.3">
      <c r="A27" s="4" t="s">
        <v>237</v>
      </c>
      <c r="B27" s="7" t="str">
        <f>IF($B$23="KHÓA","—",IF(SUM($J$6:$J$15)&gt;1,"LỖI — đã dùng "&amp;SUM($J$6:$J$15)&amp;" vật phẩm, luật cho tối đa 1",IF($B$26&gt;ARENA_1!$B$29,"LỖI — đầu Arena chỉ có "&amp;ARENA_1!$B$29&amp;" Credit, không đủ "&amp;$B$26&amp;" Credit để dùng vật phẩm",IF(SUM($J$6:$J$15)=0,"OK — không dùng vật phẩm","OK — dùng 1 vật phẩm, đã trừ "&amp;$B$26&amp;" Credit"))))</f>
        <v>—</v>
      </c>
    </row>
    <row r="29" spans="1:4" ht="15" customHeight="1" x14ac:dyDescent="0.3">
      <c r="A29" s="3" t="s">
        <v>238</v>
      </c>
    </row>
    <row r="30" spans="1:4" ht="15" customHeight="1" x14ac:dyDescent="0.3">
      <c r="A30" s="12" t="s">
        <v>48</v>
      </c>
      <c r="B30" s="12" t="s">
        <v>224</v>
      </c>
      <c r="C30" s="12" t="s">
        <v>225</v>
      </c>
      <c r="D30" s="12" t="s">
        <v>226</v>
      </c>
    </row>
    <row r="31" spans="1:4" ht="15" customHeight="1" x14ac:dyDescent="0.3">
      <c r="A31" s="26" t="s">
        <v>56</v>
      </c>
      <c r="B31" s="17">
        <f>SUMIFS(ARENA_1!$G$5:$G$19,ARENA_1!$C$5:$C$19,$A31,ARENA_1!$H$5:$H$19,0)+SUMIFS(TRAP_I!$I$6:$I$15,TRAP_I!$E$6:$E$15,$A31,TRAP_I!$J$6:$J$15,0)</f>
        <v>0</v>
      </c>
      <c r="C31" s="17">
        <f>COUNTIFS(ARENA_1!$C$5:$C$19,$A31,ARENA_1!$H$5:$H$19,0)+COUNTIFS(TRAP_I!$E$6:$E$15,$A31,TRAP_I!$J$6:$J$15,0)</f>
        <v>3</v>
      </c>
      <c r="D31" s="27">
        <f>IFERROR($B31/$C31,"")</f>
        <v>0</v>
      </c>
    </row>
    <row r="32" spans="1:4" ht="15" customHeight="1" x14ac:dyDescent="0.3">
      <c r="A32" s="26" t="s">
        <v>62</v>
      </c>
      <c r="B32" s="17">
        <f>SUMIFS(ARENA_1!$G$5:$G$19,ARENA_1!$C$5:$C$19,$A32,ARENA_1!$H$5:$H$19,0)+SUMIFS(TRAP_I!$I$6:$I$15,TRAP_I!$E$6:$E$15,$A32,TRAP_I!$J$6:$J$15,0)</f>
        <v>0</v>
      </c>
      <c r="C32" s="17">
        <f>COUNTIFS(ARENA_1!$C$5:$C$19,$A32,ARENA_1!$H$5:$H$19,0)+COUNTIFS(TRAP_I!$E$6:$E$15,$A32,TRAP_I!$J$6:$J$15,0)</f>
        <v>3</v>
      </c>
      <c r="D32" s="27">
        <f>IFERROR($B32/$C32,"")</f>
        <v>0</v>
      </c>
    </row>
    <row r="33" spans="1:4" ht="15" customHeight="1" x14ac:dyDescent="0.3">
      <c r="A33" s="26" t="s">
        <v>64</v>
      </c>
      <c r="B33" s="17">
        <f>SUMIFS(ARENA_1!$G$5:$G$19,ARENA_1!$C$5:$C$19,$A33,ARENA_1!$H$5:$H$19,0)+SUMIFS(TRAP_I!$I$6:$I$15,TRAP_I!$E$6:$E$15,$A33,TRAP_I!$J$6:$J$15,0)</f>
        <v>0</v>
      </c>
      <c r="C33" s="17">
        <f>COUNTIFS(ARENA_1!$C$5:$C$19,$A33,ARENA_1!$H$5:$H$19,0)+COUNTIFS(TRAP_I!$E$6:$E$15,$A33,TRAP_I!$J$6:$J$15,0)</f>
        <v>3</v>
      </c>
      <c r="D33" s="27">
        <f>IFERROR($B33/$C33,"")</f>
        <v>0</v>
      </c>
    </row>
    <row r="34" spans="1:4" ht="15" customHeight="1" x14ac:dyDescent="0.3">
      <c r="A34" s="26" t="s">
        <v>66</v>
      </c>
      <c r="B34" s="17">
        <f>SUMIFS(ARENA_1!$G$5:$G$19,ARENA_1!$C$5:$C$19,$A34,ARENA_1!$H$5:$H$19,0)+SUMIFS(TRAP_I!$I$6:$I$15,TRAP_I!$E$6:$E$15,$A34,TRAP_I!$J$6:$J$15,0)</f>
        <v>0</v>
      </c>
      <c r="C34" s="17">
        <f>COUNTIFS(ARENA_1!$C$5:$C$19,$A34,ARENA_1!$H$5:$H$19,0)+COUNTIFS(TRAP_I!$E$6:$E$15,$A34,TRAP_I!$J$6:$J$15,0)</f>
        <v>3</v>
      </c>
      <c r="D34" s="27">
        <f>IFERROR($B34/$C34,"")</f>
        <v>0</v>
      </c>
    </row>
    <row r="35" spans="1:4" ht="15" customHeight="1" x14ac:dyDescent="0.3">
      <c r="A35" s="26" t="s">
        <v>69</v>
      </c>
      <c r="B35" s="17">
        <f>SUMIFS(ARENA_1!$G$5:$G$19,ARENA_1!$C$5:$C$19,$A35,ARENA_1!$H$5:$H$19,0)+SUMIFS(TRAP_I!$I$6:$I$15,TRAP_I!$E$6:$E$15,$A35,TRAP_I!$J$6:$J$15,0)</f>
        <v>0</v>
      </c>
      <c r="C35" s="17">
        <f>COUNTIFS(ARENA_1!$C$5:$C$19,$A35,ARENA_1!$H$5:$H$19,0)+COUNTIFS(TRAP_I!$E$6:$E$15,$A35,TRAP_I!$J$6:$J$15,0)</f>
        <v>3</v>
      </c>
      <c r="D35" s="27">
        <f>IFERROR($B35/$C35,"")</f>
        <v>0</v>
      </c>
    </row>
  </sheetData>
  <dataValidations count="1">
    <dataValidation type="list" allowBlank="1" sqref="I6:J15" xr:uid="{00000000-0002-0000-0300-000000000000}">
      <formula1>"0,1"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37"/>
  <sheetViews>
    <sheetView zoomScaleNormal="100" workbookViewId="0">
      <pane ySplit="5" topLeftCell="A6" activePane="bottomLeft" state="frozen"/>
      <selection pane="bottomLeft" activeCell="G21" sqref="G21"/>
    </sheetView>
  </sheetViews>
  <sheetFormatPr defaultColWidth="8.6640625" defaultRowHeight="14.4" x14ac:dyDescent="0.3"/>
  <cols>
    <col min="1" max="1" width="33.44140625" customWidth="1"/>
    <col min="2" max="3" width="8" customWidth="1"/>
    <col min="4" max="4" width="22" customWidth="1"/>
    <col min="5" max="5" width="7" customWidth="1"/>
    <col min="6" max="6" width="9" customWidth="1"/>
    <col min="7" max="7" width="26" customWidth="1"/>
    <col min="8" max="8" width="7" customWidth="1"/>
    <col min="9" max="10" width="10" customWidth="1"/>
  </cols>
  <sheetData>
    <row r="1" spans="1:10" ht="17.25" customHeight="1" x14ac:dyDescent="0.3">
      <c r="A1" s="1" t="s">
        <v>239</v>
      </c>
    </row>
    <row r="2" spans="1:10" ht="15" customHeight="1" x14ac:dyDescent="0.3">
      <c r="A2" s="2" t="s">
        <v>240</v>
      </c>
    </row>
    <row r="3" spans="1:10" ht="15" customHeight="1" x14ac:dyDescent="0.3">
      <c r="D3" s="30" t="str">
        <f>IF(TRAP_I!$B$23="FAIL","LET'S RETRY! — Trap I chưa đạt ngưỡng, không tải câu hỏi.",IF(TRAP_I!$B$23&lt;&gt;"PASS","Chưa hoàn thành Trap I.",""))</f>
        <v>Chưa hoàn thành Trap I.</v>
      </c>
    </row>
    <row r="5" spans="1:10" ht="15" customHeight="1" x14ac:dyDescent="0.3">
      <c r="A5" s="12" t="s">
        <v>46</v>
      </c>
      <c r="B5" s="12" t="s">
        <v>232</v>
      </c>
      <c r="C5" s="12" t="s">
        <v>233</v>
      </c>
      <c r="D5" s="12" t="s">
        <v>47</v>
      </c>
      <c r="E5" s="12" t="s">
        <v>48</v>
      </c>
      <c r="F5" s="12" t="s">
        <v>49</v>
      </c>
      <c r="G5" s="12" t="s">
        <v>50</v>
      </c>
      <c r="H5" s="12" t="s">
        <v>51</v>
      </c>
      <c r="I5" s="12" t="s">
        <v>208</v>
      </c>
      <c r="J5" s="12" t="s">
        <v>209</v>
      </c>
    </row>
    <row r="6" spans="1:10" ht="15" customHeight="1" x14ac:dyDescent="0.3">
      <c r="A6" s="17">
        <v>1</v>
      </c>
      <c r="B6" s="19" t="str">
        <f>IF($E6="","",IF($E6=ARENA_1!$B$42,13,3)+MOD($A6-1,2)+1)</f>
        <v/>
      </c>
      <c r="C6" s="19" t="str">
        <f>IF($B6="","",MATCH($E6&amp;"-"&amp;$B6,BANK!$H$5:$H$114,0))</f>
        <v/>
      </c>
      <c r="D6" s="18" t="str">
        <f>IF($C6="","—",INDEX(BANK!$B$5:$B$114,$C6))</f>
        <v>—</v>
      </c>
      <c r="E6" s="17" t="str">
        <f>IF(TRAP_I!$B$23&lt;&gt;"PASS","","C1")</f>
        <v/>
      </c>
      <c r="F6" s="18" t="str">
        <f>IF($C6="","",INDEX(BANK!$D$5:$D$114,$C6))</f>
        <v/>
      </c>
      <c r="G6" s="18" t="str">
        <f>IF($C6="","",INDEX(BANK!$E$5:$E$114,$C6))</f>
        <v/>
      </c>
      <c r="H6" s="17" t="str">
        <f>IF($C6="","",INDEX(BANK!$F$5:$F$114,$C6))</f>
        <v/>
      </c>
      <c r="I6" s="20"/>
      <c r="J6" s="20"/>
    </row>
    <row r="7" spans="1:10" ht="15" customHeight="1" x14ac:dyDescent="0.3">
      <c r="A7" s="17">
        <v>2</v>
      </c>
      <c r="B7" s="19" t="str">
        <f>IF($E7="","",IF($E7=ARENA_1!$B$42,13,3)+MOD($A7-1,2)+1)</f>
        <v/>
      </c>
      <c r="C7" s="19" t="str">
        <f>IF($B7="","",MATCH($E7&amp;"-"&amp;$B7,BANK!$H$5:$H$114,0))</f>
        <v/>
      </c>
      <c r="D7" s="18" t="str">
        <f>IF($C7="","—",INDEX(BANK!$B$5:$B$114,$C7))</f>
        <v>—</v>
      </c>
      <c r="E7" s="17" t="str">
        <f>IF(TRAP_I!$B$23&lt;&gt;"PASS","","C1")</f>
        <v/>
      </c>
      <c r="F7" s="18" t="str">
        <f>IF($C7="","",INDEX(BANK!$D$5:$D$114,$C7))</f>
        <v/>
      </c>
      <c r="G7" s="18" t="str">
        <f>IF($C7="","",INDEX(BANK!$E$5:$E$114,$C7))</f>
        <v/>
      </c>
      <c r="H7" s="17" t="str">
        <f>IF($C7="","",INDEX(BANK!$F$5:$F$114,$C7))</f>
        <v/>
      </c>
      <c r="I7" s="20"/>
      <c r="J7" s="20"/>
    </row>
    <row r="8" spans="1:10" ht="15" customHeight="1" x14ac:dyDescent="0.3">
      <c r="A8" s="17">
        <v>3</v>
      </c>
      <c r="B8" s="19" t="str">
        <f>IF($E8="","",IF($E8=ARENA_1!$B$42,13,3)+MOD($A8-1,2)+1)</f>
        <v/>
      </c>
      <c r="C8" s="19" t="str">
        <f>IF($B8="","",MATCH($E8&amp;"-"&amp;$B8,BANK!$H$5:$H$114,0))</f>
        <v/>
      </c>
      <c r="D8" s="18" t="str">
        <f>IF($C8="","—",INDEX(BANK!$B$5:$B$114,$C8))</f>
        <v>—</v>
      </c>
      <c r="E8" s="17" t="str">
        <f>IF(TRAP_I!$B$23&lt;&gt;"PASS","","C2")</f>
        <v/>
      </c>
      <c r="F8" s="18" t="str">
        <f>IF($C8="","",INDEX(BANK!$D$5:$D$114,$C8))</f>
        <v/>
      </c>
      <c r="G8" s="18" t="str">
        <f>IF($C8="","",INDEX(BANK!$E$5:$E$114,$C8))</f>
        <v/>
      </c>
      <c r="H8" s="17" t="str">
        <f>IF($C8="","",INDEX(BANK!$F$5:$F$114,$C8))</f>
        <v/>
      </c>
      <c r="I8" s="20"/>
      <c r="J8" s="20"/>
    </row>
    <row r="9" spans="1:10" ht="15" customHeight="1" x14ac:dyDescent="0.3">
      <c r="A9" s="17">
        <v>4</v>
      </c>
      <c r="B9" s="19" t="str">
        <f>IF($E9="","",IF($E9=ARENA_1!$B$42,13,3)+MOD($A9-1,2)+1)</f>
        <v/>
      </c>
      <c r="C9" s="19" t="str">
        <f>IF($B9="","",MATCH($E9&amp;"-"&amp;$B9,BANK!$H$5:$H$114,0))</f>
        <v/>
      </c>
      <c r="D9" s="18" t="str">
        <f>IF($C9="","—",INDEX(BANK!$B$5:$B$114,$C9))</f>
        <v>—</v>
      </c>
      <c r="E9" s="17" t="str">
        <f>IF(TRAP_I!$B$23&lt;&gt;"PASS","","C2")</f>
        <v/>
      </c>
      <c r="F9" s="18" t="str">
        <f>IF($C9="","",INDEX(BANK!$D$5:$D$114,$C9))</f>
        <v/>
      </c>
      <c r="G9" s="18" t="str">
        <f>IF($C9="","",INDEX(BANK!$E$5:$E$114,$C9))</f>
        <v/>
      </c>
      <c r="H9" s="17" t="str">
        <f>IF($C9="","",INDEX(BANK!$F$5:$F$114,$C9))</f>
        <v/>
      </c>
      <c r="I9" s="20"/>
      <c r="J9" s="20"/>
    </row>
    <row r="10" spans="1:10" ht="15" customHeight="1" x14ac:dyDescent="0.3">
      <c r="A10" s="17">
        <v>5</v>
      </c>
      <c r="B10" s="19" t="str">
        <f>IF($E10="","",IF($E10=ARENA_1!$B$42,13,3)+MOD($A10-1,2)+1)</f>
        <v/>
      </c>
      <c r="C10" s="19" t="str">
        <f>IF($B10="","",MATCH($E10&amp;"-"&amp;$B10,BANK!$H$5:$H$114,0))</f>
        <v/>
      </c>
      <c r="D10" s="18" t="str">
        <f>IF($C10="","—",INDEX(BANK!$B$5:$B$114,$C10))</f>
        <v>—</v>
      </c>
      <c r="E10" s="17" t="str">
        <f>IF(TRAP_I!$B$23&lt;&gt;"PASS","","C3")</f>
        <v/>
      </c>
      <c r="F10" s="18" t="str">
        <f>IF($C10="","",INDEX(BANK!$D$5:$D$114,$C10))</f>
        <v/>
      </c>
      <c r="G10" s="18" t="str">
        <f>IF($C10="","",INDEX(BANK!$E$5:$E$114,$C10))</f>
        <v/>
      </c>
      <c r="H10" s="17" t="str">
        <f>IF($C10="","",INDEX(BANK!$F$5:$F$114,$C10))</f>
        <v/>
      </c>
      <c r="I10" s="20"/>
      <c r="J10" s="20"/>
    </row>
    <row r="11" spans="1:10" ht="15" customHeight="1" x14ac:dyDescent="0.3">
      <c r="A11" s="17">
        <v>6</v>
      </c>
      <c r="B11" s="19" t="str">
        <f>IF($E11="","",IF($E11=ARENA_1!$B$42,13,3)+MOD($A11-1,2)+1)</f>
        <v/>
      </c>
      <c r="C11" s="19" t="str">
        <f>IF($B11="","",MATCH($E11&amp;"-"&amp;$B11,BANK!$H$5:$H$114,0))</f>
        <v/>
      </c>
      <c r="D11" s="18" t="str">
        <f>IF($C11="","—",INDEX(BANK!$B$5:$B$114,$C11))</f>
        <v>—</v>
      </c>
      <c r="E11" s="17" t="str">
        <f>IF(TRAP_I!$B$23&lt;&gt;"PASS","","C3")</f>
        <v/>
      </c>
      <c r="F11" s="18" t="str">
        <f>IF($C11="","",INDEX(BANK!$D$5:$D$114,$C11))</f>
        <v/>
      </c>
      <c r="G11" s="18" t="str">
        <f>IF($C11="","",INDEX(BANK!$E$5:$E$114,$C11))</f>
        <v/>
      </c>
      <c r="H11" s="17" t="str">
        <f>IF($C11="","",INDEX(BANK!$F$5:$F$114,$C11))</f>
        <v/>
      </c>
      <c r="I11" s="20"/>
      <c r="J11" s="20"/>
    </row>
    <row r="12" spans="1:10" ht="15" customHeight="1" x14ac:dyDescent="0.3">
      <c r="A12" s="17">
        <v>7</v>
      </c>
      <c r="B12" s="19" t="str">
        <f>IF($E12="","",IF($E12=ARENA_1!$B$42,13,3)+MOD($A12-1,2)+1)</f>
        <v/>
      </c>
      <c r="C12" s="19" t="str">
        <f>IF($B12="","",MATCH($E12&amp;"-"&amp;$B12,BANK!$H$5:$H$114,0))</f>
        <v/>
      </c>
      <c r="D12" s="18" t="str">
        <f>IF($C12="","—",INDEX(BANK!$B$5:$B$114,$C12))</f>
        <v>—</v>
      </c>
      <c r="E12" s="17" t="str">
        <f>IF(TRAP_I!$B$23&lt;&gt;"PASS","","C4")</f>
        <v/>
      </c>
      <c r="F12" s="18" t="str">
        <f>IF($C12="","",INDEX(BANK!$D$5:$D$114,$C12))</f>
        <v/>
      </c>
      <c r="G12" s="18" t="str">
        <f>IF($C12="","",INDEX(BANK!$E$5:$E$114,$C12))</f>
        <v/>
      </c>
      <c r="H12" s="17" t="str">
        <f>IF($C12="","",INDEX(BANK!$F$5:$F$114,$C12))</f>
        <v/>
      </c>
      <c r="I12" s="20"/>
      <c r="J12" s="20"/>
    </row>
    <row r="13" spans="1:10" ht="15" customHeight="1" x14ac:dyDescent="0.3">
      <c r="A13" s="17">
        <v>8</v>
      </c>
      <c r="B13" s="19" t="str">
        <f>IF($E13="","",IF($E13=ARENA_1!$B$42,13,3)+MOD($A13-1,2)+1)</f>
        <v/>
      </c>
      <c r="C13" s="19" t="str">
        <f>IF($B13="","",MATCH($E13&amp;"-"&amp;$B13,BANK!$H$5:$H$114,0))</f>
        <v/>
      </c>
      <c r="D13" s="18" t="str">
        <f>IF($C13="","—",INDEX(BANK!$B$5:$B$114,$C13))</f>
        <v>—</v>
      </c>
      <c r="E13" s="17" t="str">
        <f>IF(TRAP_I!$B$23&lt;&gt;"PASS","","C4")</f>
        <v/>
      </c>
      <c r="F13" s="18" t="str">
        <f>IF($C13="","",INDEX(BANK!$D$5:$D$114,$C13))</f>
        <v/>
      </c>
      <c r="G13" s="18" t="str">
        <f>IF($C13="","",INDEX(BANK!$E$5:$E$114,$C13))</f>
        <v/>
      </c>
      <c r="H13" s="17" t="str">
        <f>IF($C13="","",INDEX(BANK!$F$5:$F$114,$C13))</f>
        <v/>
      </c>
      <c r="I13" s="20"/>
      <c r="J13" s="20"/>
    </row>
    <row r="14" spans="1:10" ht="15" customHeight="1" x14ac:dyDescent="0.3">
      <c r="A14" s="17">
        <v>9</v>
      </c>
      <c r="B14" s="19" t="str">
        <f>IF($E14="","",IF($E14=ARENA_1!$B$42,13,3)+MOD($A14-1,2)+1)</f>
        <v/>
      </c>
      <c r="C14" s="19" t="str">
        <f>IF($B14="","",MATCH($E14&amp;"-"&amp;$B14,BANK!$H$5:$H$114,0))</f>
        <v/>
      </c>
      <c r="D14" s="18" t="str">
        <f>IF($C14="","—",INDEX(BANK!$B$5:$B$114,$C14))</f>
        <v>—</v>
      </c>
      <c r="E14" s="17" t="str">
        <f>IF(TRAP_I!$B$23&lt;&gt;"PASS","","C5")</f>
        <v/>
      </c>
      <c r="F14" s="18" t="str">
        <f>IF($C14="","",INDEX(BANK!$D$5:$D$114,$C14))</f>
        <v/>
      </c>
      <c r="G14" s="18" t="str">
        <f>IF($C14="","",INDEX(BANK!$E$5:$E$114,$C14))</f>
        <v/>
      </c>
      <c r="H14" s="17" t="str">
        <f>IF($C14="","",INDEX(BANK!$F$5:$F$114,$C14))</f>
        <v/>
      </c>
      <c r="I14" s="20"/>
      <c r="J14" s="20"/>
    </row>
    <row r="15" spans="1:10" ht="15" customHeight="1" x14ac:dyDescent="0.3">
      <c r="A15" s="17">
        <v>10</v>
      </c>
      <c r="B15" s="19" t="str">
        <f>IF($E15="","",IF($E15=ARENA_1!$B$42,13,3)+MOD($A15-1,2)+1)</f>
        <v/>
      </c>
      <c r="C15" s="19" t="str">
        <f>IF($B15="","",MATCH($E15&amp;"-"&amp;$B15,BANK!$H$5:$H$114,0))</f>
        <v/>
      </c>
      <c r="D15" s="18" t="str">
        <f>IF($C15="","—",INDEX(BANK!$B$5:$B$114,$C15))</f>
        <v>—</v>
      </c>
      <c r="E15" s="17" t="str">
        <f>IF(TRAP_I!$B$23&lt;&gt;"PASS","","C5")</f>
        <v/>
      </c>
      <c r="F15" s="18" t="str">
        <f>IF($C15="","",INDEX(BANK!$D$5:$D$114,$C15))</f>
        <v/>
      </c>
      <c r="G15" s="18" t="str">
        <f>IF($C15="","",INDEX(BANK!$E$5:$E$114,$C15))</f>
        <v/>
      </c>
      <c r="H15" s="17" t="str">
        <f>IF($C15="","",INDEX(BANK!$F$5:$F$114,$C15))</f>
        <v/>
      </c>
      <c r="I15" s="20"/>
      <c r="J15" s="20"/>
    </row>
    <row r="17" spans="1:5" ht="15" customHeight="1" x14ac:dyDescent="0.3">
      <c r="A17" s="3" t="s">
        <v>210</v>
      </c>
    </row>
    <row r="18" spans="1:5" ht="15" customHeight="1" x14ac:dyDescent="0.3">
      <c r="A18" s="4" t="s">
        <v>211</v>
      </c>
      <c r="B18" s="16">
        <f>COUNT($I$6:$I$15)</f>
        <v>0</v>
      </c>
    </row>
    <row r="19" spans="1:5" ht="15" customHeight="1" x14ac:dyDescent="0.3">
      <c r="A19" s="4" t="s">
        <v>212</v>
      </c>
      <c r="B19" s="16">
        <f>SUM($I$6:$I$15)</f>
        <v>0</v>
      </c>
    </row>
    <row r="20" spans="1:5" ht="15" customHeight="1" x14ac:dyDescent="0.3">
      <c r="A20" s="4" t="s">
        <v>213</v>
      </c>
      <c r="B20" s="16">
        <f>IF(TRAP_I!$B$23&lt;&gt;"PASS",0,10)</f>
        <v>0</v>
      </c>
    </row>
    <row r="21" spans="1:5" ht="15" customHeight="1" x14ac:dyDescent="0.3">
      <c r="A21" s="4" t="s">
        <v>214</v>
      </c>
      <c r="B21" s="22" t="str">
        <f>IFERROR($B$19/$B$20,"")</f>
        <v/>
      </c>
      <c r="C21" s="2" t="s">
        <v>215</v>
      </c>
    </row>
    <row r="22" spans="1:5" ht="15" customHeight="1" x14ac:dyDescent="0.3">
      <c r="A22" s="4" t="s">
        <v>216</v>
      </c>
      <c r="B22" s="23">
        <f>HUONG_DAN!$B$22</f>
        <v>0.7</v>
      </c>
    </row>
    <row r="23" spans="1:5" ht="15" customHeight="1" x14ac:dyDescent="0.3">
      <c r="A23" s="4" t="s">
        <v>217</v>
      </c>
      <c r="B23" s="24" t="str">
        <f>IF(TRAP_I!$B$23&lt;&gt;"PASS","KHÓA",IF($B$18&lt;$B$20,"CHƯA XONG",IF($B$21&gt;=$B$22,"PASS","FAIL")))</f>
        <v>KHÓA</v>
      </c>
      <c r="C23" s="2" t="s">
        <v>218</v>
      </c>
    </row>
    <row r="24" spans="1:5" ht="15" customHeight="1" x14ac:dyDescent="0.3">
      <c r="A24" s="4" t="s">
        <v>219</v>
      </c>
      <c r="B24" s="16">
        <f>IF($B$23&lt;&gt;"PASS",0,IF($B$21&lt;0.8,2,IF($B$21&lt;0.9,3,4)))</f>
        <v>0</v>
      </c>
    </row>
    <row r="25" spans="1:5" ht="15" customHeight="1" x14ac:dyDescent="0.3">
      <c r="A25" s="4" t="s">
        <v>220</v>
      </c>
      <c r="B25" s="45">
        <f>TRAP_I!$B$25+$B$24-$B$26</f>
        <v>3</v>
      </c>
      <c r="C25" s="2" t="s">
        <v>234</v>
      </c>
    </row>
    <row r="26" spans="1:5" x14ac:dyDescent="0.3">
      <c r="A26" s="4" t="s">
        <v>235</v>
      </c>
      <c r="B26" s="45">
        <f>IF($B$23="KHÓA",0,SUM($J$6:$J$15)*HUONG_DAN!$B$26)</f>
        <v>0</v>
      </c>
      <c r="C26" s="2" t="s">
        <v>236</v>
      </c>
    </row>
    <row r="27" spans="1:5" ht="15" customHeight="1" x14ac:dyDescent="0.3">
      <c r="A27" s="4" t="s">
        <v>237</v>
      </c>
      <c r="B27" s="7" t="str">
        <f>IF($B$23="KHÓA","—",IF(SUM($J$6:$J$15)&gt;1,"LỖI — đã dùng "&amp;SUM($J$6:$J$15)&amp;" vật phẩm, luật cho tối đa 1",IF($B$26&gt;TRAP_I!$B$25,"LỖI — đầu Arena chỉ có "&amp;TRAP_I!$B$25&amp;" Credit, không đủ "&amp;$B$26&amp;" Credit để dùng vật phẩm",IF(SUM($J$6:$J$15)=0,"OK — không dùng vật phẩm","OK — dùng 1 vật phẩm, đã trừ "&amp;$B$26&amp;" Credit"))))</f>
        <v>—</v>
      </c>
    </row>
    <row r="29" spans="1:5" ht="15" customHeight="1" x14ac:dyDescent="0.3">
      <c r="A29" s="3" t="s">
        <v>241</v>
      </c>
    </row>
    <row r="30" spans="1:5" ht="15" customHeight="1" x14ac:dyDescent="0.3">
      <c r="A30" s="12" t="s">
        <v>48</v>
      </c>
      <c r="B30" s="12" t="s">
        <v>224</v>
      </c>
      <c r="C30" s="12" t="s">
        <v>225</v>
      </c>
      <c r="D30" s="12" t="s">
        <v>226</v>
      </c>
      <c r="E30" s="12" t="s">
        <v>242</v>
      </c>
    </row>
    <row r="31" spans="1:5" ht="15" customHeight="1" x14ac:dyDescent="0.3">
      <c r="A31" s="26" t="s">
        <v>56</v>
      </c>
      <c r="B31" s="17">
        <f>SUMIFS(ARENA_1!$G$5:$G$19,ARENA_1!$C$5:$C$19,$A31,ARENA_1!$H$5:$H$19,0)+SUMIFS(TRAP_I!$I$6:$I$15,TRAP_I!$E$6:$E$15,$A31,TRAP_I!$J$6:$J$15,0)+SUMIFS(CROSSROADS!$I$6:$I$15,CROSSROADS!$E$6:$E$15,$A31,CROSSROADS!$J$6:$J$15,0)</f>
        <v>0</v>
      </c>
      <c r="C31" s="17">
        <f>COUNTIFS(ARENA_1!$C$5:$C$19,$A31,ARENA_1!$H$5:$H$19,0)+COUNTIFS(TRAP_I!$E$6:$E$15,$A31,TRAP_I!$J$6:$J$15,0)+COUNTIFS(CROSSROADS!$E$6:$E$15,$A31,CROSSROADS!$J$6:$J$15,0)</f>
        <v>3</v>
      </c>
      <c r="D31" s="27">
        <f>IFERROR($B31/$C31,"")</f>
        <v>0</v>
      </c>
      <c r="E31" s="31">
        <f>IF($A31=ARENA_1!$B$42,9,IF($D31="",9,$D31))</f>
        <v>0</v>
      </c>
    </row>
    <row r="32" spans="1:5" ht="15" customHeight="1" x14ac:dyDescent="0.3">
      <c r="A32" s="26" t="s">
        <v>62</v>
      </c>
      <c r="B32" s="17">
        <f>SUMIFS(ARENA_1!$G$5:$G$19,ARENA_1!$C$5:$C$19,$A32,ARENA_1!$H$5:$H$19,0)+SUMIFS(TRAP_I!$I$6:$I$15,TRAP_I!$E$6:$E$15,$A32,TRAP_I!$J$6:$J$15,0)+SUMIFS(CROSSROADS!$I$6:$I$15,CROSSROADS!$E$6:$E$15,$A32,CROSSROADS!$J$6:$J$15,0)</f>
        <v>0</v>
      </c>
      <c r="C32" s="17">
        <f>COUNTIFS(ARENA_1!$C$5:$C$19,$A32,ARENA_1!$H$5:$H$19,0)+COUNTIFS(TRAP_I!$E$6:$E$15,$A32,TRAP_I!$J$6:$J$15,0)+COUNTIFS(CROSSROADS!$E$6:$E$15,$A32,CROSSROADS!$J$6:$J$15,0)</f>
        <v>3</v>
      </c>
      <c r="D32" s="27">
        <f>IFERROR($B32/$C32,"")</f>
        <v>0</v>
      </c>
      <c r="E32" s="31">
        <f>IF($A32=ARENA_1!$B$42,9,IF($D32="",9,$D32))</f>
        <v>0</v>
      </c>
    </row>
    <row r="33" spans="1:5" ht="15" customHeight="1" x14ac:dyDescent="0.3">
      <c r="A33" s="26" t="s">
        <v>64</v>
      </c>
      <c r="B33" s="17">
        <f>SUMIFS(ARENA_1!$G$5:$G$19,ARENA_1!$C$5:$C$19,$A33,ARENA_1!$H$5:$H$19,0)+SUMIFS(TRAP_I!$I$6:$I$15,TRAP_I!$E$6:$E$15,$A33,TRAP_I!$J$6:$J$15,0)+SUMIFS(CROSSROADS!$I$6:$I$15,CROSSROADS!$E$6:$E$15,$A33,CROSSROADS!$J$6:$J$15,0)</f>
        <v>0</v>
      </c>
      <c r="C33" s="17">
        <f>COUNTIFS(ARENA_1!$C$5:$C$19,$A33,ARENA_1!$H$5:$H$19,0)+COUNTIFS(TRAP_I!$E$6:$E$15,$A33,TRAP_I!$J$6:$J$15,0)+COUNTIFS(CROSSROADS!$E$6:$E$15,$A33,CROSSROADS!$J$6:$J$15,0)</f>
        <v>3</v>
      </c>
      <c r="D33" s="27">
        <f>IFERROR($B33/$C33,"")</f>
        <v>0</v>
      </c>
      <c r="E33" s="31">
        <f>IF($A33=ARENA_1!$B$42,9,IF($D33="",9,$D33))</f>
        <v>0</v>
      </c>
    </row>
    <row r="34" spans="1:5" ht="15" customHeight="1" x14ac:dyDescent="0.3">
      <c r="A34" s="26" t="s">
        <v>66</v>
      </c>
      <c r="B34" s="17">
        <f>SUMIFS(ARENA_1!$G$5:$G$19,ARENA_1!$C$5:$C$19,$A34,ARENA_1!$H$5:$H$19,0)+SUMIFS(TRAP_I!$I$6:$I$15,TRAP_I!$E$6:$E$15,$A34,TRAP_I!$J$6:$J$15,0)+SUMIFS(CROSSROADS!$I$6:$I$15,CROSSROADS!$E$6:$E$15,$A34,CROSSROADS!$J$6:$J$15,0)</f>
        <v>0</v>
      </c>
      <c r="C34" s="17">
        <f>COUNTIFS(ARENA_1!$C$5:$C$19,$A34,ARENA_1!$H$5:$H$19,0)+COUNTIFS(TRAP_I!$E$6:$E$15,$A34,TRAP_I!$J$6:$J$15,0)+COUNTIFS(CROSSROADS!$E$6:$E$15,$A34,CROSSROADS!$J$6:$J$15,0)</f>
        <v>3</v>
      </c>
      <c r="D34" s="27">
        <f>IFERROR($B34/$C34,"")</f>
        <v>0</v>
      </c>
      <c r="E34" s="31">
        <f>IF($A34=ARENA_1!$B$42,9,IF($D34="",9,$D34))</f>
        <v>0</v>
      </c>
    </row>
    <row r="35" spans="1:5" ht="15" customHeight="1" x14ac:dyDescent="0.3">
      <c r="A35" s="26" t="s">
        <v>69</v>
      </c>
      <c r="B35" s="17">
        <f>SUMIFS(ARENA_1!$G$5:$G$19,ARENA_1!$C$5:$C$19,$A35,ARENA_1!$H$5:$H$19,0)+SUMIFS(TRAP_I!$I$6:$I$15,TRAP_I!$E$6:$E$15,$A35,TRAP_I!$J$6:$J$15,0)+SUMIFS(CROSSROADS!$I$6:$I$15,CROSSROADS!$E$6:$E$15,$A35,CROSSROADS!$J$6:$J$15,0)</f>
        <v>0</v>
      </c>
      <c r="C35" s="17">
        <f>COUNTIFS(ARENA_1!$C$5:$C$19,$A35,ARENA_1!$H$5:$H$19,0)+COUNTIFS(TRAP_I!$E$6:$E$15,$A35,TRAP_I!$J$6:$J$15,0)+COUNTIFS(CROSSROADS!$E$6:$E$15,$A35,CROSSROADS!$J$6:$J$15,0)</f>
        <v>3</v>
      </c>
      <c r="D35" s="27">
        <f>IFERROR($B35/$C35,"")</f>
        <v>0</v>
      </c>
      <c r="E35" s="31">
        <f>IF($A35=ARENA_1!$B$42,9,IF($D35="",9,$D35))</f>
        <v>0</v>
      </c>
    </row>
    <row r="37" spans="1:5" ht="15" customHeight="1" x14ac:dyDescent="0.3">
      <c r="A37" s="4" t="s">
        <v>243</v>
      </c>
      <c r="B37" s="28" t="str">
        <f>IF(CROSSROADS!$B$23&lt;&gt;"PASS","—",INDEX($A$31:$A$35,MATCH(MIN($E$31:$E$35),$E$31:$E$35,0)))</f>
        <v>—</v>
      </c>
      <c r="C37" s="2" t="s">
        <v>244</v>
      </c>
    </row>
  </sheetData>
  <dataValidations count="1">
    <dataValidation type="list" allowBlank="1" sqref="I6:J15" xr:uid="{00000000-0002-0000-0400-000000000000}">
      <formula1>"0,1"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50"/>
  <sheetViews>
    <sheetView zoomScaleNormal="100" workbookViewId="0">
      <pane ySplit="5" topLeftCell="A6" activePane="bottomLeft" state="frozen"/>
      <selection pane="bottomLeft" activeCell="B25" sqref="B25:B26"/>
    </sheetView>
  </sheetViews>
  <sheetFormatPr defaultColWidth="8.6640625" defaultRowHeight="14.4" x14ac:dyDescent="0.3"/>
  <cols>
    <col min="1" max="1" width="22.77734375" customWidth="1"/>
    <col min="2" max="3" width="8" customWidth="1"/>
    <col min="4" max="4" width="22" customWidth="1"/>
    <col min="5" max="5" width="7" customWidth="1"/>
    <col min="6" max="6" width="9" customWidth="1"/>
    <col min="7" max="7" width="26" customWidth="1"/>
    <col min="8" max="8" width="7" customWidth="1"/>
    <col min="9" max="10" width="10" customWidth="1"/>
  </cols>
  <sheetData>
    <row r="1" spans="1:10" ht="17.25" customHeight="1" x14ac:dyDescent="0.3">
      <c r="A1" s="1" t="s">
        <v>245</v>
      </c>
    </row>
    <row r="2" spans="1:10" ht="15" customHeight="1" x14ac:dyDescent="0.3">
      <c r="A2" s="2" t="s">
        <v>246</v>
      </c>
    </row>
    <row r="3" spans="1:10" ht="15" customHeight="1" x14ac:dyDescent="0.3">
      <c r="A3" s="29" t="s">
        <v>231</v>
      </c>
      <c r="B3" s="28" t="str">
        <f>IF(CROSSROADS!$B$23&lt;&gt;"PASS","—",CROSSROADS!$B$37)</f>
        <v>—</v>
      </c>
      <c r="D3" s="30" t="str">
        <f>IF(CROSSROADS!$B$23="FAIL","LET'S RETRY! — Crossroads chưa đạt ngưỡng, không tải câu hỏi.",IF(CROSSROADS!$B$23&lt;&gt;"PASS","Chưa hoàn thành Crossroads.",""))</f>
        <v>Chưa hoàn thành Crossroads.</v>
      </c>
    </row>
    <row r="5" spans="1:10" ht="15" customHeight="1" x14ac:dyDescent="0.3">
      <c r="A5" s="12" t="s">
        <v>46</v>
      </c>
      <c r="B5" s="12" t="s">
        <v>232</v>
      </c>
      <c r="C5" s="12" t="s">
        <v>233</v>
      </c>
      <c r="D5" s="12" t="s">
        <v>47</v>
      </c>
      <c r="E5" s="12" t="s">
        <v>48</v>
      </c>
      <c r="F5" s="12" t="s">
        <v>49</v>
      </c>
      <c r="G5" s="12" t="s">
        <v>50</v>
      </c>
      <c r="H5" s="12" t="s">
        <v>51</v>
      </c>
      <c r="I5" s="12" t="s">
        <v>208</v>
      </c>
      <c r="J5" s="12" t="s">
        <v>209</v>
      </c>
    </row>
    <row r="6" spans="1:10" ht="15" customHeight="1" x14ac:dyDescent="0.3">
      <c r="A6" s="17">
        <v>1</v>
      </c>
      <c r="B6" s="19" t="str">
        <f t="shared" ref="B6:B15" si="0">IF($E6="","",5+$A6)</f>
        <v/>
      </c>
      <c r="C6" s="19" t="str">
        <f>IF($B6="","",MATCH($E6&amp;"-"&amp;$B6,BANK!$H$5:$H$114,0))</f>
        <v/>
      </c>
      <c r="D6" s="18" t="str">
        <f>IF($C6="","—",INDEX(BANK!$B$5:$B$114,$C6))</f>
        <v>—</v>
      </c>
      <c r="E6" s="17" t="str">
        <f>IF(CROSSROADS!$B$23&lt;&gt;"PASS","",CROSSROADS!$B$37)</f>
        <v/>
      </c>
      <c r="F6" s="18" t="str">
        <f>IF($C6="","",INDEX(BANK!$D$5:$D$114,$C6))</f>
        <v/>
      </c>
      <c r="G6" s="18" t="str">
        <f>IF($C6="","",INDEX(BANK!$E$5:$E$114,$C6))</f>
        <v/>
      </c>
      <c r="H6" s="17" t="str">
        <f>IF($C6="","",INDEX(BANK!$F$5:$F$114,$C6))</f>
        <v/>
      </c>
      <c r="I6" s="20"/>
      <c r="J6" s="20"/>
    </row>
    <row r="7" spans="1:10" ht="15" customHeight="1" x14ac:dyDescent="0.3">
      <c r="A7" s="17">
        <v>2</v>
      </c>
      <c r="B7" s="19" t="str">
        <f t="shared" si="0"/>
        <v/>
      </c>
      <c r="C7" s="19" t="str">
        <f>IF($B7="","",MATCH($E7&amp;"-"&amp;$B7,BANK!$H$5:$H$114,0))</f>
        <v/>
      </c>
      <c r="D7" s="18" t="str">
        <f>IF($C7="","—",INDEX(BANK!$B$5:$B$114,$C7))</f>
        <v>—</v>
      </c>
      <c r="E7" s="17" t="str">
        <f>IF(CROSSROADS!$B$23&lt;&gt;"PASS","",CROSSROADS!$B$37)</f>
        <v/>
      </c>
      <c r="F7" s="18" t="str">
        <f>IF($C7="","",INDEX(BANK!$D$5:$D$114,$C7))</f>
        <v/>
      </c>
      <c r="G7" s="18" t="str">
        <f>IF($C7="","",INDEX(BANK!$E$5:$E$114,$C7))</f>
        <v/>
      </c>
      <c r="H7" s="17" t="str">
        <f>IF($C7="","",INDEX(BANK!$F$5:$F$114,$C7))</f>
        <v/>
      </c>
      <c r="I7" s="20"/>
      <c r="J7" s="20"/>
    </row>
    <row r="8" spans="1:10" ht="15" customHeight="1" x14ac:dyDescent="0.3">
      <c r="A8" s="17">
        <v>3</v>
      </c>
      <c r="B8" s="19" t="str">
        <f t="shared" si="0"/>
        <v/>
      </c>
      <c r="C8" s="19" t="str">
        <f>IF($B8="","",MATCH($E8&amp;"-"&amp;$B8,BANK!$H$5:$H$114,0))</f>
        <v/>
      </c>
      <c r="D8" s="18" t="str">
        <f>IF($C8="","—",INDEX(BANK!$B$5:$B$114,$C8))</f>
        <v>—</v>
      </c>
      <c r="E8" s="17" t="str">
        <f>IF(CROSSROADS!$B$23&lt;&gt;"PASS","",CROSSROADS!$B$37)</f>
        <v/>
      </c>
      <c r="F8" s="18" t="str">
        <f>IF($C8="","",INDEX(BANK!$D$5:$D$114,$C8))</f>
        <v/>
      </c>
      <c r="G8" s="18" t="str">
        <f>IF($C8="","",INDEX(BANK!$E$5:$E$114,$C8))</f>
        <v/>
      </c>
      <c r="H8" s="17" t="str">
        <f>IF($C8="","",INDEX(BANK!$F$5:$F$114,$C8))</f>
        <v/>
      </c>
      <c r="I8" s="20"/>
      <c r="J8" s="20"/>
    </row>
    <row r="9" spans="1:10" ht="15" customHeight="1" x14ac:dyDescent="0.3">
      <c r="A9" s="17">
        <v>4</v>
      </c>
      <c r="B9" s="19" t="str">
        <f t="shared" si="0"/>
        <v/>
      </c>
      <c r="C9" s="19" t="str">
        <f>IF($B9="","",MATCH($E9&amp;"-"&amp;$B9,BANK!$H$5:$H$114,0))</f>
        <v/>
      </c>
      <c r="D9" s="18" t="str">
        <f>IF($C9="","—",INDEX(BANK!$B$5:$B$114,$C9))</f>
        <v>—</v>
      </c>
      <c r="E9" s="17" t="str">
        <f>IF(CROSSROADS!$B$23&lt;&gt;"PASS","",CROSSROADS!$B$37)</f>
        <v/>
      </c>
      <c r="F9" s="18" t="str">
        <f>IF($C9="","",INDEX(BANK!$D$5:$D$114,$C9))</f>
        <v/>
      </c>
      <c r="G9" s="18" t="str">
        <f>IF($C9="","",INDEX(BANK!$E$5:$E$114,$C9))</f>
        <v/>
      </c>
      <c r="H9" s="17" t="str">
        <f>IF($C9="","",INDEX(BANK!$F$5:$F$114,$C9))</f>
        <v/>
      </c>
      <c r="I9" s="20"/>
      <c r="J9" s="20"/>
    </row>
    <row r="10" spans="1:10" ht="15" customHeight="1" x14ac:dyDescent="0.3">
      <c r="A10" s="17">
        <v>5</v>
      </c>
      <c r="B10" s="19" t="str">
        <f t="shared" si="0"/>
        <v/>
      </c>
      <c r="C10" s="19" t="str">
        <f>IF($B10="","",MATCH($E10&amp;"-"&amp;$B10,BANK!$H$5:$H$114,0))</f>
        <v/>
      </c>
      <c r="D10" s="18" t="str">
        <f>IF($C10="","—",INDEX(BANK!$B$5:$B$114,$C10))</f>
        <v>—</v>
      </c>
      <c r="E10" s="17" t="str">
        <f>IF(CROSSROADS!$B$23&lt;&gt;"PASS","",CROSSROADS!$B$37)</f>
        <v/>
      </c>
      <c r="F10" s="18" t="str">
        <f>IF($C10="","",INDEX(BANK!$D$5:$D$114,$C10))</f>
        <v/>
      </c>
      <c r="G10" s="18" t="str">
        <f>IF($C10="","",INDEX(BANK!$E$5:$E$114,$C10))</f>
        <v/>
      </c>
      <c r="H10" s="17" t="str">
        <f>IF($C10="","",INDEX(BANK!$F$5:$F$114,$C10))</f>
        <v/>
      </c>
      <c r="I10" s="20"/>
      <c r="J10" s="20"/>
    </row>
    <row r="11" spans="1:10" ht="15" customHeight="1" x14ac:dyDescent="0.3">
      <c r="A11" s="17">
        <v>6</v>
      </c>
      <c r="B11" s="19" t="str">
        <f t="shared" si="0"/>
        <v/>
      </c>
      <c r="C11" s="19" t="str">
        <f>IF($B11="","",MATCH($E11&amp;"-"&amp;$B11,BANK!$H$5:$H$114,0))</f>
        <v/>
      </c>
      <c r="D11" s="18" t="str">
        <f>IF($C11="","—",INDEX(BANK!$B$5:$B$114,$C11))</f>
        <v>—</v>
      </c>
      <c r="E11" s="17" t="str">
        <f>IF(CROSSROADS!$B$23&lt;&gt;"PASS","",CROSSROADS!$B$37)</f>
        <v/>
      </c>
      <c r="F11" s="18" t="str">
        <f>IF($C11="","",INDEX(BANK!$D$5:$D$114,$C11))</f>
        <v/>
      </c>
      <c r="G11" s="18" t="str">
        <f>IF($C11="","",INDEX(BANK!$E$5:$E$114,$C11))</f>
        <v/>
      </c>
      <c r="H11" s="17" t="str">
        <f>IF($C11="","",INDEX(BANK!$F$5:$F$114,$C11))</f>
        <v/>
      </c>
      <c r="I11" s="20"/>
      <c r="J11" s="20"/>
    </row>
    <row r="12" spans="1:10" ht="15" customHeight="1" x14ac:dyDescent="0.3">
      <c r="A12" s="17">
        <v>7</v>
      </c>
      <c r="B12" s="19" t="str">
        <f t="shared" si="0"/>
        <v/>
      </c>
      <c r="C12" s="19" t="str">
        <f>IF($B12="","",MATCH($E12&amp;"-"&amp;$B12,BANK!$H$5:$H$114,0))</f>
        <v/>
      </c>
      <c r="D12" s="18" t="str">
        <f>IF($C12="","—",INDEX(BANK!$B$5:$B$114,$C12))</f>
        <v>—</v>
      </c>
      <c r="E12" s="17" t="str">
        <f>IF(CROSSROADS!$B$23&lt;&gt;"PASS","",CROSSROADS!$B$37)</f>
        <v/>
      </c>
      <c r="F12" s="18" t="str">
        <f>IF($C12="","",INDEX(BANK!$D$5:$D$114,$C12))</f>
        <v/>
      </c>
      <c r="G12" s="18" t="str">
        <f>IF($C12="","",INDEX(BANK!$E$5:$E$114,$C12))</f>
        <v/>
      </c>
      <c r="H12" s="17" t="str">
        <f>IF($C12="","",INDEX(BANK!$F$5:$F$114,$C12))</f>
        <v/>
      </c>
      <c r="I12" s="20"/>
      <c r="J12" s="20"/>
    </row>
    <row r="13" spans="1:10" ht="15" customHeight="1" x14ac:dyDescent="0.3">
      <c r="A13" s="17">
        <v>8</v>
      </c>
      <c r="B13" s="19" t="str">
        <f t="shared" si="0"/>
        <v/>
      </c>
      <c r="C13" s="19" t="str">
        <f>IF($B13="","",MATCH($E13&amp;"-"&amp;$B13,BANK!$H$5:$H$114,0))</f>
        <v/>
      </c>
      <c r="D13" s="18" t="str">
        <f>IF($C13="","—",INDEX(BANK!$B$5:$B$114,$C13))</f>
        <v>—</v>
      </c>
      <c r="E13" s="17" t="str">
        <f>IF(CROSSROADS!$B$23&lt;&gt;"PASS","",CROSSROADS!$B$37)</f>
        <v/>
      </c>
      <c r="F13" s="18" t="str">
        <f>IF($C13="","",INDEX(BANK!$D$5:$D$114,$C13))</f>
        <v/>
      </c>
      <c r="G13" s="18" t="str">
        <f>IF($C13="","",INDEX(BANK!$E$5:$E$114,$C13))</f>
        <v/>
      </c>
      <c r="H13" s="17" t="str">
        <f>IF($C13="","",INDEX(BANK!$F$5:$F$114,$C13))</f>
        <v/>
      </c>
      <c r="I13" s="20"/>
      <c r="J13" s="20"/>
    </row>
    <row r="14" spans="1:10" ht="15" customHeight="1" x14ac:dyDescent="0.3">
      <c r="A14" s="17">
        <v>9</v>
      </c>
      <c r="B14" s="19" t="str">
        <f t="shared" si="0"/>
        <v/>
      </c>
      <c r="C14" s="19" t="str">
        <f>IF($B14="","",MATCH($E14&amp;"-"&amp;$B14,BANK!$H$5:$H$114,0))</f>
        <v/>
      </c>
      <c r="D14" s="18" t="str">
        <f>IF($C14="","—",INDEX(BANK!$B$5:$B$114,$C14))</f>
        <v>—</v>
      </c>
      <c r="E14" s="17" t="str">
        <f>IF(CROSSROADS!$B$23&lt;&gt;"PASS","",CROSSROADS!$B$37)</f>
        <v/>
      </c>
      <c r="F14" s="18" t="str">
        <f>IF($C14="","",INDEX(BANK!$D$5:$D$114,$C14))</f>
        <v/>
      </c>
      <c r="G14" s="18" t="str">
        <f>IF($C14="","",INDEX(BANK!$E$5:$E$114,$C14))</f>
        <v/>
      </c>
      <c r="H14" s="17" t="str">
        <f>IF($C14="","",INDEX(BANK!$F$5:$F$114,$C14))</f>
        <v/>
      </c>
      <c r="I14" s="20"/>
      <c r="J14" s="20"/>
    </row>
    <row r="15" spans="1:10" ht="15" customHeight="1" x14ac:dyDescent="0.3">
      <c r="A15" s="17">
        <v>10</v>
      </c>
      <c r="B15" s="19" t="str">
        <f t="shared" si="0"/>
        <v/>
      </c>
      <c r="C15" s="19" t="str">
        <f>IF($B15="","",MATCH($E15&amp;"-"&amp;$B15,BANK!$H$5:$H$114,0))</f>
        <v/>
      </c>
      <c r="D15" s="18" t="str">
        <f>IF($C15="","—",INDEX(BANK!$B$5:$B$114,$C15))</f>
        <v>—</v>
      </c>
      <c r="E15" s="17" t="str">
        <f>IF(CROSSROADS!$B$23&lt;&gt;"PASS","",CROSSROADS!$B$37)</f>
        <v/>
      </c>
      <c r="F15" s="18" t="str">
        <f>IF($C15="","",INDEX(BANK!$D$5:$D$114,$C15))</f>
        <v/>
      </c>
      <c r="G15" s="18" t="str">
        <f>IF($C15="","",INDEX(BANK!$E$5:$E$114,$C15))</f>
        <v/>
      </c>
      <c r="H15" s="17" t="str">
        <f>IF($C15="","",INDEX(BANK!$F$5:$F$114,$C15))</f>
        <v/>
      </c>
      <c r="I15" s="20"/>
      <c r="J15" s="20"/>
    </row>
    <row r="17" spans="1:4" ht="15" customHeight="1" x14ac:dyDescent="0.3">
      <c r="A17" s="3" t="s">
        <v>210</v>
      </c>
    </row>
    <row r="18" spans="1:4" ht="15" customHeight="1" x14ac:dyDescent="0.3">
      <c r="A18" s="4" t="s">
        <v>211</v>
      </c>
      <c r="B18" s="16">
        <f>COUNT($I$6:$I$15)</f>
        <v>0</v>
      </c>
    </row>
    <row r="19" spans="1:4" ht="15" customHeight="1" x14ac:dyDescent="0.3">
      <c r="A19" s="4" t="s">
        <v>212</v>
      </c>
      <c r="B19" s="16">
        <f>SUM($I$6:$I$15)</f>
        <v>0</v>
      </c>
    </row>
    <row r="20" spans="1:4" ht="15" customHeight="1" x14ac:dyDescent="0.3">
      <c r="A20" s="4" t="s">
        <v>213</v>
      </c>
      <c r="B20" s="16">
        <f>IF(CROSSROADS!$B$23&lt;&gt;"PASS",0,10)</f>
        <v>0</v>
      </c>
    </row>
    <row r="21" spans="1:4" ht="15" customHeight="1" x14ac:dyDescent="0.3">
      <c r="A21" s="4" t="s">
        <v>214</v>
      </c>
      <c r="B21" s="22" t="str">
        <f>IFERROR($B$19/$B$20,"")</f>
        <v/>
      </c>
      <c r="C21" s="2" t="s">
        <v>215</v>
      </c>
    </row>
    <row r="22" spans="1:4" ht="15" customHeight="1" x14ac:dyDescent="0.3">
      <c r="A22" s="4" t="s">
        <v>216</v>
      </c>
      <c r="B22" s="23">
        <f>HUONG_DAN!$B$22</f>
        <v>0.7</v>
      </c>
    </row>
    <row r="23" spans="1:4" ht="15" customHeight="1" x14ac:dyDescent="0.3">
      <c r="A23" s="4" t="s">
        <v>217</v>
      </c>
      <c r="B23" s="24" t="str">
        <f>IF(CROSSROADS!$B$23&lt;&gt;"PASS","KHÓA",IF($B$18&lt;$B$20,"CHƯA XONG",IF($B$21&gt;=$B$22,"PASS","FAIL")))</f>
        <v>KHÓA</v>
      </c>
      <c r="C23" s="2" t="s">
        <v>218</v>
      </c>
    </row>
    <row r="24" spans="1:4" ht="15" customHeight="1" x14ac:dyDescent="0.3">
      <c r="A24" s="4" t="s">
        <v>219</v>
      </c>
      <c r="B24" s="16">
        <f>IF($B$23&lt;&gt;"PASS",0,IF($B$21&lt;0.8,2,IF($B$21&lt;0.9,3,4)))</f>
        <v>0</v>
      </c>
    </row>
    <row r="25" spans="1:4" ht="15" customHeight="1" x14ac:dyDescent="0.3">
      <c r="A25" s="4" t="s">
        <v>220</v>
      </c>
      <c r="B25" s="45">
        <f>CROSSROADS!$B$25+$B$24-$B$26</f>
        <v>3</v>
      </c>
      <c r="C25" s="2" t="s">
        <v>234</v>
      </c>
    </row>
    <row r="26" spans="1:4" x14ac:dyDescent="0.3">
      <c r="A26" s="4" t="s">
        <v>235</v>
      </c>
      <c r="B26" s="45">
        <f>IF($B$23="KHÓA",0,SUM($J$6:$J$15)*HUONG_DAN!$B$26)</f>
        <v>0</v>
      </c>
      <c r="C26" s="2" t="s">
        <v>236</v>
      </c>
    </row>
    <row r="27" spans="1:4" ht="15" customHeight="1" x14ac:dyDescent="0.3">
      <c r="A27" s="4" t="s">
        <v>237</v>
      </c>
      <c r="B27" s="7" t="str">
        <f>IF($B$23="KHÓA","—",IF(SUM($J$6:$J$15)&gt;1,"LỖI — đã dùng "&amp;SUM($J$6:$J$15)&amp;" vật phẩm, luật cho tối đa 1",IF($B$26&gt;CROSSROADS!$B$25,"LỖI — đầu Arena chỉ có "&amp;CROSSROADS!$B$25&amp;" Credit, không đủ "&amp;$B$26&amp;" Credit để dùng vật phẩm",IF(SUM($J$6:$J$15)=0,"OK — không dùng vật phẩm","OK — dùng 1 vật phẩm, đã trừ "&amp;$B$26&amp;" Credit"))))</f>
        <v>—</v>
      </c>
    </row>
    <row r="29" spans="1:4" ht="15" customHeight="1" x14ac:dyDescent="0.3">
      <c r="A29" s="3" t="s">
        <v>247</v>
      </c>
    </row>
    <row r="30" spans="1:4" ht="15" customHeight="1" x14ac:dyDescent="0.3">
      <c r="A30" s="12" t="s">
        <v>48</v>
      </c>
      <c r="B30" s="12" t="s">
        <v>224</v>
      </c>
      <c r="C30" s="12" t="s">
        <v>225</v>
      </c>
      <c r="D30" s="12" t="s">
        <v>226</v>
      </c>
    </row>
    <row r="31" spans="1:4" ht="15" customHeight="1" x14ac:dyDescent="0.3">
      <c r="A31" s="26" t="s">
        <v>56</v>
      </c>
      <c r="B31" s="17">
        <f>SUMIFS(ARENA_1!$G$5:$G$19,ARENA_1!$C$5:$C$19,$A31,ARENA_1!$H$5:$H$19,0)+SUMIFS(TRAP_I!$I$6:$I$15,TRAP_I!$E$6:$E$15,$A31,TRAP_I!$J$6:$J$15,0)+SUMIFS(CROSSROADS!$I$6:$I$15,CROSSROADS!$E$6:$E$15,$A31,CROSSROADS!$J$6:$J$15,0)+SUMIFS(TRAP_II!$I$6:$I$15,TRAP_II!$E$6:$E$15,$A31,TRAP_II!$J$6:$J$15,0)</f>
        <v>0</v>
      </c>
      <c r="C31" s="17">
        <f>COUNTIFS(ARENA_1!$C$5:$C$19,$A31,ARENA_1!$H$5:$H$19,0)+COUNTIFS(TRAP_I!$E$6:$E$15,$A31,TRAP_I!$J$6:$J$15,0)+COUNTIFS(CROSSROADS!$E$6:$E$15,$A31,CROSSROADS!$J$6:$J$15,0)+COUNTIFS(TRAP_II!$E$6:$E$15,$A31,TRAP_II!$J$6:$J$15,0)</f>
        <v>3</v>
      </c>
      <c r="D31" s="27">
        <f>IFERROR($B31/$C31,"")</f>
        <v>0</v>
      </c>
    </row>
    <row r="32" spans="1:4" ht="15" customHeight="1" x14ac:dyDescent="0.3">
      <c r="A32" s="26" t="s">
        <v>62</v>
      </c>
      <c r="B32" s="17">
        <f>SUMIFS(ARENA_1!$G$5:$G$19,ARENA_1!$C$5:$C$19,$A32,ARENA_1!$H$5:$H$19,0)+SUMIFS(TRAP_I!$I$6:$I$15,TRAP_I!$E$6:$E$15,$A32,TRAP_I!$J$6:$J$15,0)+SUMIFS(CROSSROADS!$I$6:$I$15,CROSSROADS!$E$6:$E$15,$A32,CROSSROADS!$J$6:$J$15,0)+SUMIFS(TRAP_II!$I$6:$I$15,TRAP_II!$E$6:$E$15,$A32,TRAP_II!$J$6:$J$15,0)</f>
        <v>0</v>
      </c>
      <c r="C32" s="17">
        <f>COUNTIFS(ARENA_1!$C$5:$C$19,$A32,ARENA_1!$H$5:$H$19,0)+COUNTIFS(TRAP_I!$E$6:$E$15,$A32,TRAP_I!$J$6:$J$15,0)+COUNTIFS(CROSSROADS!$E$6:$E$15,$A32,CROSSROADS!$J$6:$J$15,0)+COUNTIFS(TRAP_II!$E$6:$E$15,$A32,TRAP_II!$J$6:$J$15,0)</f>
        <v>3</v>
      </c>
      <c r="D32" s="27">
        <f>IFERROR($B32/$C32,"")</f>
        <v>0</v>
      </c>
    </row>
    <row r="33" spans="1:6" ht="15" customHeight="1" x14ac:dyDescent="0.3">
      <c r="A33" s="26" t="s">
        <v>64</v>
      </c>
      <c r="B33" s="17">
        <f>SUMIFS(ARENA_1!$G$5:$G$19,ARENA_1!$C$5:$C$19,$A33,ARENA_1!$H$5:$H$19,0)+SUMIFS(TRAP_I!$I$6:$I$15,TRAP_I!$E$6:$E$15,$A33,TRAP_I!$J$6:$J$15,0)+SUMIFS(CROSSROADS!$I$6:$I$15,CROSSROADS!$E$6:$E$15,$A33,CROSSROADS!$J$6:$J$15,0)+SUMIFS(TRAP_II!$I$6:$I$15,TRAP_II!$E$6:$E$15,$A33,TRAP_II!$J$6:$J$15,0)</f>
        <v>0</v>
      </c>
      <c r="C33" s="17">
        <f>COUNTIFS(ARENA_1!$C$5:$C$19,$A33,ARENA_1!$H$5:$H$19,0)+COUNTIFS(TRAP_I!$E$6:$E$15,$A33,TRAP_I!$J$6:$J$15,0)+COUNTIFS(CROSSROADS!$E$6:$E$15,$A33,CROSSROADS!$J$6:$J$15,0)+COUNTIFS(TRAP_II!$E$6:$E$15,$A33,TRAP_II!$J$6:$J$15,0)</f>
        <v>3</v>
      </c>
      <c r="D33" s="27">
        <f>IFERROR($B33/$C33,"")</f>
        <v>0</v>
      </c>
    </row>
    <row r="34" spans="1:6" ht="15" customHeight="1" x14ac:dyDescent="0.3">
      <c r="A34" s="26" t="s">
        <v>66</v>
      </c>
      <c r="B34" s="17">
        <f>SUMIFS(ARENA_1!$G$5:$G$19,ARENA_1!$C$5:$C$19,$A34,ARENA_1!$H$5:$H$19,0)+SUMIFS(TRAP_I!$I$6:$I$15,TRAP_I!$E$6:$E$15,$A34,TRAP_I!$J$6:$J$15,0)+SUMIFS(CROSSROADS!$I$6:$I$15,CROSSROADS!$E$6:$E$15,$A34,CROSSROADS!$J$6:$J$15,0)+SUMIFS(TRAP_II!$I$6:$I$15,TRAP_II!$E$6:$E$15,$A34,TRAP_II!$J$6:$J$15,0)</f>
        <v>0</v>
      </c>
      <c r="C34" s="17">
        <f>COUNTIFS(ARENA_1!$C$5:$C$19,$A34,ARENA_1!$H$5:$H$19,0)+COUNTIFS(TRAP_I!$E$6:$E$15,$A34,TRAP_I!$J$6:$J$15,0)+COUNTIFS(CROSSROADS!$E$6:$E$15,$A34,CROSSROADS!$J$6:$J$15,0)+COUNTIFS(TRAP_II!$E$6:$E$15,$A34,TRAP_II!$J$6:$J$15,0)</f>
        <v>3</v>
      </c>
      <c r="D34" s="27">
        <f>IFERROR($B34/$C34,"")</f>
        <v>0</v>
      </c>
    </row>
    <row r="35" spans="1:6" ht="15" customHeight="1" x14ac:dyDescent="0.3">
      <c r="A35" s="26" t="s">
        <v>69</v>
      </c>
      <c r="B35" s="17">
        <f>SUMIFS(ARENA_1!$G$5:$G$19,ARENA_1!$C$5:$C$19,$A35,ARENA_1!$H$5:$H$19,0)+SUMIFS(TRAP_I!$I$6:$I$15,TRAP_I!$E$6:$E$15,$A35,TRAP_I!$J$6:$J$15,0)+SUMIFS(CROSSROADS!$I$6:$I$15,CROSSROADS!$E$6:$E$15,$A35,CROSSROADS!$J$6:$J$15,0)+SUMIFS(TRAP_II!$I$6:$I$15,TRAP_II!$E$6:$E$15,$A35,TRAP_II!$J$6:$J$15,0)</f>
        <v>0</v>
      </c>
      <c r="C35" s="17">
        <f>COUNTIFS(ARENA_1!$C$5:$C$19,$A35,ARENA_1!$H$5:$H$19,0)+COUNTIFS(TRAP_I!$E$6:$E$15,$A35,TRAP_I!$J$6:$J$15,0)+COUNTIFS(CROSSROADS!$E$6:$E$15,$A35,CROSSROADS!$J$6:$J$15,0)+COUNTIFS(TRAP_II!$E$6:$E$15,$A35,TRAP_II!$J$6:$J$15,0)</f>
        <v>3</v>
      </c>
      <c r="D35" s="27">
        <f>IFERROR($B35/$C35,"")</f>
        <v>0</v>
      </c>
    </row>
    <row r="37" spans="1:6" ht="15" customHeight="1" x14ac:dyDescent="0.3">
      <c r="A37" s="3" t="s">
        <v>248</v>
      </c>
    </row>
    <row r="38" spans="1:6" ht="15" customHeight="1" x14ac:dyDescent="0.3">
      <c r="A38" s="12" t="s">
        <v>48</v>
      </c>
      <c r="B38" s="12" t="s">
        <v>249</v>
      </c>
      <c r="C38" s="12" t="s">
        <v>250</v>
      </c>
      <c r="D38" s="12" t="s">
        <v>251</v>
      </c>
      <c r="E38" s="12" t="s">
        <v>252</v>
      </c>
      <c r="F38" s="12" t="s">
        <v>253</v>
      </c>
    </row>
    <row r="39" spans="1:6" ht="15" customHeight="1" x14ac:dyDescent="0.3">
      <c r="A39" s="26" t="str">
        <f>$A$31</f>
        <v>C1</v>
      </c>
      <c r="B39" s="27">
        <f>$D$31</f>
        <v>0</v>
      </c>
      <c r="C39" s="32">
        <f>IF($B39="","",$B39+1*0.000001)</f>
        <v>9.9999999999999995E-7</v>
      </c>
      <c r="D39" s="17">
        <f>IF($C39="","",RANK($C39,$C$39:$C$43,1))</f>
        <v>1</v>
      </c>
      <c r="E39" s="17">
        <f>IF($D39="","",IF($D39=1,7,IF($D39=2,5,IF($D39=3,3,0))))</f>
        <v>7</v>
      </c>
      <c r="F39" s="33" t="str">
        <f>IF($E39=0,"Không vào Boss","Cụm yếu thứ "&amp;$D39)</f>
        <v>Cụm yếu thứ 1</v>
      </c>
    </row>
    <row r="40" spans="1:6" ht="15" customHeight="1" x14ac:dyDescent="0.3">
      <c r="A40" s="26" t="str">
        <f>$A$32</f>
        <v>C2</v>
      </c>
      <c r="B40" s="27">
        <f>$D$32</f>
        <v>0</v>
      </c>
      <c r="C40" s="32">
        <f>IF($B40="","",$B40+2*0.000001)</f>
        <v>1.9999999999999999E-6</v>
      </c>
      <c r="D40" s="17">
        <f>IF($C40="","",RANK($C40,$C$39:$C$43,1))</f>
        <v>2</v>
      </c>
      <c r="E40" s="17">
        <f>IF($D40="","",IF($D40=1,7,IF($D40=2,5,IF($D40=3,3,0))))</f>
        <v>5</v>
      </c>
      <c r="F40" s="33" t="str">
        <f>IF($E40=0,"Không vào Boss","Cụm yếu thứ "&amp;$D40)</f>
        <v>Cụm yếu thứ 2</v>
      </c>
    </row>
    <row r="41" spans="1:6" ht="15" customHeight="1" x14ac:dyDescent="0.3">
      <c r="A41" s="26" t="str">
        <f>$A$33</f>
        <v>C3</v>
      </c>
      <c r="B41" s="27">
        <f>$D$33</f>
        <v>0</v>
      </c>
      <c r="C41" s="32">
        <f>IF($B41="","",$B41+3*0.000001)</f>
        <v>3.0000000000000001E-6</v>
      </c>
      <c r="D41" s="17">
        <f>IF($C41="","",RANK($C41,$C$39:$C$43,1))</f>
        <v>3</v>
      </c>
      <c r="E41" s="17">
        <f>IF($D41="","",IF($D41=1,7,IF($D41=2,5,IF($D41=3,3,0))))</f>
        <v>3</v>
      </c>
      <c r="F41" s="33" t="str">
        <f>IF($E41=0,"Không vào Boss","Cụm yếu thứ "&amp;$D41)</f>
        <v>Cụm yếu thứ 3</v>
      </c>
    </row>
    <row r="42" spans="1:6" ht="15" customHeight="1" x14ac:dyDescent="0.3">
      <c r="A42" s="26" t="str">
        <f>$A$34</f>
        <v>C4</v>
      </c>
      <c r="B42" s="27">
        <f>$D$34</f>
        <v>0</v>
      </c>
      <c r="C42" s="32">
        <f>IF($B42="","",$B42+4*0.000001)</f>
        <v>3.9999999999999998E-6</v>
      </c>
      <c r="D42" s="17">
        <f>IF($C42="","",RANK($C42,$C$39:$C$43,1))</f>
        <v>4</v>
      </c>
      <c r="E42" s="17">
        <f>IF($D42="","",IF($D42=1,7,IF($D42=2,5,IF($D42=3,3,0))))</f>
        <v>0</v>
      </c>
      <c r="F42" s="33" t="str">
        <f>IF($E42=0,"Không vào Boss","Cụm yếu thứ "&amp;$D42)</f>
        <v>Không vào Boss</v>
      </c>
    </row>
    <row r="43" spans="1:6" ht="15" customHeight="1" x14ac:dyDescent="0.3">
      <c r="A43" s="26" t="str">
        <f>$A$35</f>
        <v>C5</v>
      </c>
      <c r="B43" s="27">
        <f>$D$35</f>
        <v>0</v>
      </c>
      <c r="C43" s="32">
        <f>IF($B43="","",$B43+5*0.000001)</f>
        <v>4.9999999999999996E-6</v>
      </c>
      <c r="D43" s="17">
        <f>IF($C43="","",RANK($C43,$C$39:$C$43,1))</f>
        <v>5</v>
      </c>
      <c r="E43" s="17">
        <f>IF($D43="","",IF($D43=1,7,IF($D43=2,5,IF($D43=3,3,0))))</f>
        <v>0</v>
      </c>
      <c r="F43" s="33" t="str">
        <f>IF($E43=0,"Không vào Boss","Cụm yếu thứ "&amp;$D43)</f>
        <v>Không vào Boss</v>
      </c>
    </row>
    <row r="44" spans="1:6" ht="15" customHeight="1" x14ac:dyDescent="0.3">
      <c r="A44" s="4" t="s">
        <v>254</v>
      </c>
      <c r="E44" s="34">
        <f>SUM($E$39:$E$43)</f>
        <v>15</v>
      </c>
      <c r="F44" s="2" t="s">
        <v>255</v>
      </c>
    </row>
    <row r="45" spans="1:6" ht="15" customHeight="1" x14ac:dyDescent="0.3">
      <c r="C45" s="2" t="s">
        <v>256</v>
      </c>
    </row>
    <row r="47" spans="1:6" ht="15" customHeight="1" x14ac:dyDescent="0.3">
      <c r="A47" s="3" t="s">
        <v>257</v>
      </c>
    </row>
    <row r="48" spans="1:6" ht="15" customHeight="1" x14ac:dyDescent="0.3">
      <c r="A48" s="4" t="s">
        <v>258</v>
      </c>
      <c r="B48" s="35" t="str">
        <f>IF(TRAP_II!$B$23&lt;&gt;"PASS","—",INDEX($A$39:$A$43,MATCH(1,$D$39:$D$43,0)))</f>
        <v>—</v>
      </c>
    </row>
    <row r="49" spans="1:2" ht="15" customHeight="1" x14ac:dyDescent="0.3">
      <c r="A49" s="4" t="s">
        <v>259</v>
      </c>
      <c r="B49" s="35" t="str">
        <f>IF(TRAP_II!$B$23&lt;&gt;"PASS","—",INDEX($A$39:$A$43,MATCH(2,$D$39:$D$43,0)))</f>
        <v>—</v>
      </c>
    </row>
    <row r="50" spans="1:2" ht="15" customHeight="1" x14ac:dyDescent="0.3">
      <c r="A50" s="4" t="s">
        <v>260</v>
      </c>
      <c r="B50" s="35" t="str">
        <f>IF(TRAP_II!$B$23&lt;&gt;"PASS","—",INDEX($A$39:$A$43,MATCH(3,$D$39:$D$43,0)))</f>
        <v>—</v>
      </c>
    </row>
  </sheetData>
  <dataValidations count="1">
    <dataValidation type="list" allowBlank="1" sqref="I6:J15" xr:uid="{00000000-0002-0000-0500-000000000000}">
      <formula1>"0,1"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34"/>
  <sheetViews>
    <sheetView zoomScaleNormal="100" workbookViewId="0">
      <pane ySplit="5" topLeftCell="A6" activePane="bottomLeft" state="frozen"/>
      <selection pane="bottomLeft" activeCell="A34" sqref="A34"/>
    </sheetView>
  </sheetViews>
  <sheetFormatPr defaultColWidth="8.6640625" defaultRowHeight="14.4" x14ac:dyDescent="0.3"/>
  <cols>
    <col min="1" max="1" width="22.33203125" customWidth="1"/>
    <col min="2" max="3" width="8" customWidth="1"/>
    <col min="4" max="4" width="22" customWidth="1"/>
    <col min="5" max="5" width="7" customWidth="1"/>
    <col min="6" max="6" width="9" customWidth="1"/>
    <col min="7" max="7" width="26" customWidth="1"/>
    <col min="8" max="8" width="7" customWidth="1"/>
    <col min="9" max="11" width="10" customWidth="1"/>
  </cols>
  <sheetData>
    <row r="1" spans="1:11" ht="17.25" customHeight="1" x14ac:dyDescent="0.3">
      <c r="A1" s="1" t="s">
        <v>261</v>
      </c>
    </row>
    <row r="2" spans="1:11" ht="15" customHeight="1" x14ac:dyDescent="0.3">
      <c r="A2" s="2" t="s">
        <v>262</v>
      </c>
    </row>
    <row r="3" spans="1:11" ht="15" customHeight="1" x14ac:dyDescent="0.3">
      <c r="D3" s="30" t="str">
        <f>IF(TRAP_II!$B$23="FAIL","LET'S RETRY! — Trap II chưa đạt ngưỡng, không tải câu hỏi.",IF(TRAP_II!$B$23&lt;&gt;"PASS","Chưa hoàn thành Trap II.",""))</f>
        <v>Chưa hoàn thành Trap II.</v>
      </c>
    </row>
    <row r="4" spans="1:11" ht="15" customHeight="1" x14ac:dyDescent="0.3">
      <c r="A4" s="4" t="s">
        <v>263</v>
      </c>
      <c r="B4" s="36" t="str">
        <f>IF(TRAP_II!$B$23&lt;&gt;"PASS","—",TRAP_II!$B$48&amp;" 7 câu · "&amp;TRAP_II!$B$49&amp;" 5 câu · "&amp;TRAP_II!$B$50&amp;" 3 câu")</f>
        <v>—</v>
      </c>
    </row>
    <row r="5" spans="1:11" ht="15" customHeight="1" x14ac:dyDescent="0.3">
      <c r="A5" s="12" t="s">
        <v>46</v>
      </c>
      <c r="B5" s="12" t="s">
        <v>232</v>
      </c>
      <c r="C5" s="12" t="s">
        <v>233</v>
      </c>
      <c r="D5" s="12" t="s">
        <v>47</v>
      </c>
      <c r="E5" s="12" t="s">
        <v>48</v>
      </c>
      <c r="F5" s="12" t="s">
        <v>49</v>
      </c>
      <c r="G5" s="12" t="s">
        <v>50</v>
      </c>
      <c r="H5" s="12" t="s">
        <v>51</v>
      </c>
      <c r="I5" s="12" t="s">
        <v>208</v>
      </c>
      <c r="J5" s="12" t="s">
        <v>209</v>
      </c>
      <c r="K5" s="37" t="s">
        <v>264</v>
      </c>
    </row>
    <row r="6" spans="1:11" ht="15" customHeight="1" x14ac:dyDescent="0.3">
      <c r="A6" s="17">
        <v>1</v>
      </c>
      <c r="B6" s="19" t="str">
        <f>IF($E6="","",IF(OR($E6=ARENA_1!$B$42,$E6=CROSSROADS!$B$37),15,5)+1)</f>
        <v/>
      </c>
      <c r="C6" s="19" t="str">
        <f>IF($B6="","",MATCH($E6&amp;"-"&amp;$B6,BANK!$H$5:$H$114,0))</f>
        <v/>
      </c>
      <c r="D6" s="18" t="str">
        <f>IF($C6="","—",INDEX(BANK!$B$5:$B$114,$C6))</f>
        <v>—</v>
      </c>
      <c r="E6" s="17" t="str">
        <f>IF(TRAP_II!$B$23&lt;&gt;"PASS","",TRAP_II!$B$48)</f>
        <v/>
      </c>
      <c r="F6" s="18" t="str">
        <f>IF($C6="","",INDEX(BANK!$D$5:$D$114,$C6))</f>
        <v/>
      </c>
      <c r="G6" s="18" t="str">
        <f>IF($C6="","",INDEX(BANK!$E$5:$E$114,$C6))</f>
        <v/>
      </c>
      <c r="H6" s="17" t="str">
        <f>IF($C6="","",INDEX(BANK!$F$5:$F$114,$C6))</f>
        <v/>
      </c>
      <c r="I6" s="20"/>
      <c r="J6" s="21">
        <v>0</v>
      </c>
      <c r="K6" s="38">
        <v>1</v>
      </c>
    </row>
    <row r="7" spans="1:11" ht="15" customHeight="1" x14ac:dyDescent="0.3">
      <c r="A7" s="17">
        <v>2</v>
      </c>
      <c r="B7" s="19" t="str">
        <f>IF($E7="","",IF(OR($E7=ARENA_1!$B$42,$E7=CROSSROADS!$B$37),15,5)+2)</f>
        <v/>
      </c>
      <c r="C7" s="19" t="str">
        <f>IF($B7="","",MATCH($E7&amp;"-"&amp;$B7,BANK!$H$5:$H$114,0))</f>
        <v/>
      </c>
      <c r="D7" s="18" t="str">
        <f>IF($C7="","—",INDEX(BANK!$B$5:$B$114,$C7))</f>
        <v>—</v>
      </c>
      <c r="E7" s="17" t="str">
        <f>IF(TRAP_II!$B$23&lt;&gt;"PASS","",TRAP_II!$B$48)</f>
        <v/>
      </c>
      <c r="F7" s="18" t="str">
        <f>IF($C7="","",INDEX(BANK!$D$5:$D$114,$C7))</f>
        <v/>
      </c>
      <c r="G7" s="18" t="str">
        <f>IF($C7="","",INDEX(BANK!$E$5:$E$114,$C7))</f>
        <v/>
      </c>
      <c r="H7" s="17" t="str">
        <f>IF($C7="","",INDEX(BANK!$F$5:$F$114,$C7))</f>
        <v/>
      </c>
      <c r="I7" s="20"/>
      <c r="J7" s="21">
        <v>0</v>
      </c>
      <c r="K7" s="38">
        <v>2</v>
      </c>
    </row>
    <row r="8" spans="1:11" ht="15" customHeight="1" x14ac:dyDescent="0.3">
      <c r="A8" s="17">
        <v>3</v>
      </c>
      <c r="B8" s="19" t="str">
        <f>IF($E8="","",IF(OR($E8=ARENA_1!$B$42,$E8=CROSSROADS!$B$37),15,5)+3)</f>
        <v/>
      </c>
      <c r="C8" s="19" t="str">
        <f>IF($B8="","",MATCH($E8&amp;"-"&amp;$B8,BANK!$H$5:$H$114,0))</f>
        <v/>
      </c>
      <c r="D8" s="18" t="str">
        <f>IF($C8="","—",INDEX(BANK!$B$5:$B$114,$C8))</f>
        <v>—</v>
      </c>
      <c r="E8" s="17" t="str">
        <f>IF(TRAP_II!$B$23&lt;&gt;"PASS","",TRAP_II!$B$48)</f>
        <v/>
      </c>
      <c r="F8" s="18" t="str">
        <f>IF($C8="","",INDEX(BANK!$D$5:$D$114,$C8))</f>
        <v/>
      </c>
      <c r="G8" s="18" t="str">
        <f>IF($C8="","",INDEX(BANK!$E$5:$E$114,$C8))</f>
        <v/>
      </c>
      <c r="H8" s="17" t="str">
        <f>IF($C8="","",INDEX(BANK!$F$5:$F$114,$C8))</f>
        <v/>
      </c>
      <c r="I8" s="20"/>
      <c r="J8" s="21">
        <v>0</v>
      </c>
      <c r="K8" s="38">
        <v>3</v>
      </c>
    </row>
    <row r="9" spans="1:11" ht="15" customHeight="1" x14ac:dyDescent="0.3">
      <c r="A9" s="17">
        <v>4</v>
      </c>
      <c r="B9" s="19" t="str">
        <f>IF($E9="","",IF(OR($E9=ARENA_1!$B$42,$E9=CROSSROADS!$B$37),15,5)+4)</f>
        <v/>
      </c>
      <c r="C9" s="19" t="str">
        <f>IF($B9="","",MATCH($E9&amp;"-"&amp;$B9,BANK!$H$5:$H$114,0))</f>
        <v/>
      </c>
      <c r="D9" s="18" t="str">
        <f>IF($C9="","—",INDEX(BANK!$B$5:$B$114,$C9))</f>
        <v>—</v>
      </c>
      <c r="E9" s="17" t="str">
        <f>IF(TRAP_II!$B$23&lt;&gt;"PASS","",TRAP_II!$B$48)</f>
        <v/>
      </c>
      <c r="F9" s="18" t="str">
        <f>IF($C9="","",INDEX(BANK!$D$5:$D$114,$C9))</f>
        <v/>
      </c>
      <c r="G9" s="18" t="str">
        <f>IF($C9="","",INDEX(BANK!$E$5:$E$114,$C9))</f>
        <v/>
      </c>
      <c r="H9" s="17" t="str">
        <f>IF($C9="","",INDEX(BANK!$F$5:$F$114,$C9))</f>
        <v/>
      </c>
      <c r="I9" s="20"/>
      <c r="J9" s="21">
        <v>0</v>
      </c>
      <c r="K9" s="38">
        <v>4</v>
      </c>
    </row>
    <row r="10" spans="1:11" ht="15" customHeight="1" x14ac:dyDescent="0.3">
      <c r="A10" s="17">
        <v>5</v>
      </c>
      <c r="B10" s="19" t="str">
        <f>IF($E10="","",IF(OR($E10=ARENA_1!$B$42,$E10=CROSSROADS!$B$37),15,5)+5)</f>
        <v/>
      </c>
      <c r="C10" s="19" t="str">
        <f>IF($B10="","",MATCH($E10&amp;"-"&amp;$B10,BANK!$H$5:$H$114,0))</f>
        <v/>
      </c>
      <c r="D10" s="18" t="str">
        <f>IF($C10="","—",INDEX(BANK!$B$5:$B$114,$C10))</f>
        <v>—</v>
      </c>
      <c r="E10" s="17" t="str">
        <f>IF(TRAP_II!$B$23&lt;&gt;"PASS","",TRAP_II!$B$48)</f>
        <v/>
      </c>
      <c r="F10" s="18" t="str">
        <f>IF($C10="","",INDEX(BANK!$D$5:$D$114,$C10))</f>
        <v/>
      </c>
      <c r="G10" s="18" t="str">
        <f>IF($C10="","",INDEX(BANK!$E$5:$E$114,$C10))</f>
        <v/>
      </c>
      <c r="H10" s="17" t="str">
        <f>IF($C10="","",INDEX(BANK!$F$5:$F$114,$C10))</f>
        <v/>
      </c>
      <c r="I10" s="20"/>
      <c r="J10" s="21">
        <v>0</v>
      </c>
      <c r="K10" s="38">
        <v>5</v>
      </c>
    </row>
    <row r="11" spans="1:11" ht="15" customHeight="1" x14ac:dyDescent="0.3">
      <c r="A11" s="17">
        <v>6</v>
      </c>
      <c r="B11" s="19" t="str">
        <f>IF($E11="","",IF(OR($E11=ARENA_1!$B$42,$E11=CROSSROADS!$B$37),15,5)+6)</f>
        <v/>
      </c>
      <c r="C11" s="19" t="str">
        <f>IF($B11="","",MATCH($E11&amp;"-"&amp;$B11,BANK!$H$5:$H$114,0))</f>
        <v/>
      </c>
      <c r="D11" s="18" t="str">
        <f>IF($C11="","—",INDEX(BANK!$B$5:$B$114,$C11))</f>
        <v>—</v>
      </c>
      <c r="E11" s="17" t="str">
        <f>IF(TRAP_II!$B$23&lt;&gt;"PASS","",TRAP_II!$B$48)</f>
        <v/>
      </c>
      <c r="F11" s="18" t="str">
        <f>IF($C11="","",INDEX(BANK!$D$5:$D$114,$C11))</f>
        <v/>
      </c>
      <c r="G11" s="18" t="str">
        <f>IF($C11="","",INDEX(BANK!$E$5:$E$114,$C11))</f>
        <v/>
      </c>
      <c r="H11" s="17" t="str">
        <f>IF($C11="","",INDEX(BANK!$F$5:$F$114,$C11))</f>
        <v/>
      </c>
      <c r="I11" s="20"/>
      <c r="J11" s="21">
        <v>0</v>
      </c>
      <c r="K11" s="38">
        <v>6</v>
      </c>
    </row>
    <row r="12" spans="1:11" ht="15" customHeight="1" x14ac:dyDescent="0.3">
      <c r="A12" s="17">
        <v>7</v>
      </c>
      <c r="B12" s="19" t="str">
        <f>IF($E12="","",IF(OR($E12=ARENA_1!$B$42,$E12=CROSSROADS!$B$37),15,5)+7)</f>
        <v/>
      </c>
      <c r="C12" s="19" t="str">
        <f>IF($B12="","",MATCH($E12&amp;"-"&amp;$B12,BANK!$H$5:$H$114,0))</f>
        <v/>
      </c>
      <c r="D12" s="18" t="str">
        <f>IF($C12="","—",INDEX(BANK!$B$5:$B$114,$C12))</f>
        <v>—</v>
      </c>
      <c r="E12" s="17" t="str">
        <f>IF(TRAP_II!$B$23&lt;&gt;"PASS","",TRAP_II!$B$48)</f>
        <v/>
      </c>
      <c r="F12" s="18" t="str">
        <f>IF($C12="","",INDEX(BANK!$D$5:$D$114,$C12))</f>
        <v/>
      </c>
      <c r="G12" s="18" t="str">
        <f>IF($C12="","",INDEX(BANK!$E$5:$E$114,$C12))</f>
        <v/>
      </c>
      <c r="H12" s="17" t="str">
        <f>IF($C12="","",INDEX(BANK!$F$5:$F$114,$C12))</f>
        <v/>
      </c>
      <c r="I12" s="20"/>
      <c r="J12" s="21">
        <v>0</v>
      </c>
      <c r="K12" s="38">
        <v>7</v>
      </c>
    </row>
    <row r="13" spans="1:11" ht="15" customHeight="1" x14ac:dyDescent="0.3">
      <c r="A13" s="17">
        <v>8</v>
      </c>
      <c r="B13" s="19" t="str">
        <f>IF($E13="","",IF(OR($E13=ARENA_1!$B$42,$E13=CROSSROADS!$B$37),15,5)+1)</f>
        <v/>
      </c>
      <c r="C13" s="19" t="str">
        <f>IF($B13="","",MATCH($E13&amp;"-"&amp;$B13,BANK!$H$5:$H$114,0))</f>
        <v/>
      </c>
      <c r="D13" s="18" t="str">
        <f>IF($C13="","—",INDEX(BANK!$B$5:$B$114,$C13))</f>
        <v>—</v>
      </c>
      <c r="E13" s="17" t="str">
        <f>IF(TRAP_II!$B$23&lt;&gt;"PASS","",TRAP_II!$B$49)</f>
        <v/>
      </c>
      <c r="F13" s="18" t="str">
        <f>IF($C13="","",INDEX(BANK!$D$5:$D$114,$C13))</f>
        <v/>
      </c>
      <c r="G13" s="18" t="str">
        <f>IF($C13="","",INDEX(BANK!$E$5:$E$114,$C13))</f>
        <v/>
      </c>
      <c r="H13" s="17" t="str">
        <f>IF($C13="","",INDEX(BANK!$F$5:$F$114,$C13))</f>
        <v/>
      </c>
      <c r="I13" s="20"/>
      <c r="J13" s="21">
        <v>0</v>
      </c>
      <c r="K13" s="38">
        <v>1</v>
      </c>
    </row>
    <row r="14" spans="1:11" ht="15" customHeight="1" x14ac:dyDescent="0.3">
      <c r="A14" s="17">
        <v>9</v>
      </c>
      <c r="B14" s="19" t="str">
        <f>IF($E14="","",IF(OR($E14=ARENA_1!$B$42,$E14=CROSSROADS!$B$37),15,5)+2)</f>
        <v/>
      </c>
      <c r="C14" s="19" t="str">
        <f>IF($B14="","",MATCH($E14&amp;"-"&amp;$B14,BANK!$H$5:$H$114,0))</f>
        <v/>
      </c>
      <c r="D14" s="18" t="str">
        <f>IF($C14="","—",INDEX(BANK!$B$5:$B$114,$C14))</f>
        <v>—</v>
      </c>
      <c r="E14" s="17" t="str">
        <f>IF(TRAP_II!$B$23&lt;&gt;"PASS","",TRAP_II!$B$49)</f>
        <v/>
      </c>
      <c r="F14" s="18" t="str">
        <f>IF($C14="","",INDEX(BANK!$D$5:$D$114,$C14))</f>
        <v/>
      </c>
      <c r="G14" s="18" t="str">
        <f>IF($C14="","",INDEX(BANK!$E$5:$E$114,$C14))</f>
        <v/>
      </c>
      <c r="H14" s="17" t="str">
        <f>IF($C14="","",INDEX(BANK!$F$5:$F$114,$C14))</f>
        <v/>
      </c>
      <c r="I14" s="20"/>
      <c r="J14" s="21">
        <v>0</v>
      </c>
      <c r="K14" s="38">
        <v>2</v>
      </c>
    </row>
    <row r="15" spans="1:11" ht="15" customHeight="1" x14ac:dyDescent="0.3">
      <c r="A15" s="17">
        <v>10</v>
      </c>
      <c r="B15" s="19" t="str">
        <f>IF($E15="","",IF(OR($E15=ARENA_1!$B$42,$E15=CROSSROADS!$B$37),15,5)+3)</f>
        <v/>
      </c>
      <c r="C15" s="19" t="str">
        <f>IF($B15="","",MATCH($E15&amp;"-"&amp;$B15,BANK!$H$5:$H$114,0))</f>
        <v/>
      </c>
      <c r="D15" s="18" t="str">
        <f>IF($C15="","—",INDEX(BANK!$B$5:$B$114,$C15))</f>
        <v>—</v>
      </c>
      <c r="E15" s="17" t="str">
        <f>IF(TRAP_II!$B$23&lt;&gt;"PASS","",TRAP_II!$B$49)</f>
        <v/>
      </c>
      <c r="F15" s="18" t="str">
        <f>IF($C15="","",INDEX(BANK!$D$5:$D$114,$C15))</f>
        <v/>
      </c>
      <c r="G15" s="18" t="str">
        <f>IF($C15="","",INDEX(BANK!$E$5:$E$114,$C15))</f>
        <v/>
      </c>
      <c r="H15" s="17" t="str">
        <f>IF($C15="","",INDEX(BANK!$F$5:$F$114,$C15))</f>
        <v/>
      </c>
      <c r="I15" s="20"/>
      <c r="J15" s="21">
        <v>0</v>
      </c>
      <c r="K15" s="38">
        <v>3</v>
      </c>
    </row>
    <row r="16" spans="1:11" ht="15" customHeight="1" x14ac:dyDescent="0.3">
      <c r="A16" s="17">
        <v>11</v>
      </c>
      <c r="B16" s="19" t="str">
        <f>IF($E16="","",IF(OR($E16=ARENA_1!$B$42,$E16=CROSSROADS!$B$37),15,5)+4)</f>
        <v/>
      </c>
      <c r="C16" s="19" t="str">
        <f>IF($B16="","",MATCH($E16&amp;"-"&amp;$B16,BANK!$H$5:$H$114,0))</f>
        <v/>
      </c>
      <c r="D16" s="18" t="str">
        <f>IF($C16="","—",INDEX(BANK!$B$5:$B$114,$C16))</f>
        <v>—</v>
      </c>
      <c r="E16" s="17" t="str">
        <f>IF(TRAP_II!$B$23&lt;&gt;"PASS","",TRAP_II!$B$49)</f>
        <v/>
      </c>
      <c r="F16" s="18" t="str">
        <f>IF($C16="","",INDEX(BANK!$D$5:$D$114,$C16))</f>
        <v/>
      </c>
      <c r="G16" s="18" t="str">
        <f>IF($C16="","",INDEX(BANK!$E$5:$E$114,$C16))</f>
        <v/>
      </c>
      <c r="H16" s="17" t="str">
        <f>IF($C16="","",INDEX(BANK!$F$5:$F$114,$C16))</f>
        <v/>
      </c>
      <c r="I16" s="20"/>
      <c r="J16" s="21">
        <v>0</v>
      </c>
      <c r="K16" s="38">
        <v>4</v>
      </c>
    </row>
    <row r="17" spans="1:11" ht="15" customHeight="1" x14ac:dyDescent="0.3">
      <c r="A17" s="17">
        <v>12</v>
      </c>
      <c r="B17" s="19" t="str">
        <f>IF($E17="","",IF(OR($E17=ARENA_1!$B$42,$E17=CROSSROADS!$B$37),15,5)+5)</f>
        <v/>
      </c>
      <c r="C17" s="19" t="str">
        <f>IF($B17="","",MATCH($E17&amp;"-"&amp;$B17,BANK!$H$5:$H$114,0))</f>
        <v/>
      </c>
      <c r="D17" s="18" t="str">
        <f>IF($C17="","—",INDEX(BANK!$B$5:$B$114,$C17))</f>
        <v>—</v>
      </c>
      <c r="E17" s="17" t="str">
        <f>IF(TRAP_II!$B$23&lt;&gt;"PASS","",TRAP_II!$B$49)</f>
        <v/>
      </c>
      <c r="F17" s="18" t="str">
        <f>IF($C17="","",INDEX(BANK!$D$5:$D$114,$C17))</f>
        <v/>
      </c>
      <c r="G17" s="18" t="str">
        <f>IF($C17="","",INDEX(BANK!$E$5:$E$114,$C17))</f>
        <v/>
      </c>
      <c r="H17" s="17" t="str">
        <f>IF($C17="","",INDEX(BANK!$F$5:$F$114,$C17))</f>
        <v/>
      </c>
      <c r="I17" s="20"/>
      <c r="J17" s="21">
        <v>0</v>
      </c>
      <c r="K17" s="38">
        <v>5</v>
      </c>
    </row>
    <row r="18" spans="1:11" ht="15" customHeight="1" x14ac:dyDescent="0.3">
      <c r="A18" s="17">
        <v>13</v>
      </c>
      <c r="B18" s="19" t="str">
        <f>IF($E18="","",IF(OR($E18=ARENA_1!$B$42,$E18=CROSSROADS!$B$37),15,5)+1)</f>
        <v/>
      </c>
      <c r="C18" s="19" t="str">
        <f>IF($B18="","",MATCH($E18&amp;"-"&amp;$B18,BANK!$H$5:$H$114,0))</f>
        <v/>
      </c>
      <c r="D18" s="18" t="str">
        <f>IF($C18="","—",INDEX(BANK!$B$5:$B$114,$C18))</f>
        <v>—</v>
      </c>
      <c r="E18" s="17" t="str">
        <f>IF(TRAP_II!$B$23&lt;&gt;"PASS","",TRAP_II!$B$50)</f>
        <v/>
      </c>
      <c r="F18" s="18" t="str">
        <f>IF($C18="","",INDEX(BANK!$D$5:$D$114,$C18))</f>
        <v/>
      </c>
      <c r="G18" s="18" t="str">
        <f>IF($C18="","",INDEX(BANK!$E$5:$E$114,$C18))</f>
        <v/>
      </c>
      <c r="H18" s="17" t="str">
        <f>IF($C18="","",INDEX(BANK!$F$5:$F$114,$C18))</f>
        <v/>
      </c>
      <c r="I18" s="20"/>
      <c r="J18" s="21">
        <v>0</v>
      </c>
      <c r="K18" s="38">
        <v>1</v>
      </c>
    </row>
    <row r="19" spans="1:11" ht="15" customHeight="1" x14ac:dyDescent="0.3">
      <c r="A19" s="17">
        <v>14</v>
      </c>
      <c r="B19" s="19" t="str">
        <f>IF($E19="","",IF(OR($E19=ARENA_1!$B$42,$E19=CROSSROADS!$B$37),15,5)+2)</f>
        <v/>
      </c>
      <c r="C19" s="19" t="str">
        <f>IF($B19="","",MATCH($E19&amp;"-"&amp;$B19,BANK!$H$5:$H$114,0))</f>
        <v/>
      </c>
      <c r="D19" s="18" t="str">
        <f>IF($C19="","—",INDEX(BANK!$B$5:$B$114,$C19))</f>
        <v>—</v>
      </c>
      <c r="E19" s="17" t="str">
        <f>IF(TRAP_II!$B$23&lt;&gt;"PASS","",TRAP_II!$B$50)</f>
        <v/>
      </c>
      <c r="F19" s="18" t="str">
        <f>IF($C19="","",INDEX(BANK!$D$5:$D$114,$C19))</f>
        <v/>
      </c>
      <c r="G19" s="18" t="str">
        <f>IF($C19="","",INDEX(BANK!$E$5:$E$114,$C19))</f>
        <v/>
      </c>
      <c r="H19" s="17" t="str">
        <f>IF($C19="","",INDEX(BANK!$F$5:$F$114,$C19))</f>
        <v/>
      </c>
      <c r="I19" s="20"/>
      <c r="J19" s="21">
        <v>0</v>
      </c>
      <c r="K19" s="38">
        <v>2</v>
      </c>
    </row>
    <row r="20" spans="1:11" ht="15" customHeight="1" x14ac:dyDescent="0.3">
      <c r="A20" s="17">
        <v>15</v>
      </c>
      <c r="B20" s="19" t="str">
        <f>IF($E20="","",IF(OR($E20=ARENA_1!$B$42,$E20=CROSSROADS!$B$37),15,5)+3)</f>
        <v/>
      </c>
      <c r="C20" s="19" t="str">
        <f>IF($B20="","",MATCH($E20&amp;"-"&amp;$B20,BANK!$H$5:$H$114,0))</f>
        <v/>
      </c>
      <c r="D20" s="18" t="str">
        <f>IF($C20="","—",INDEX(BANK!$B$5:$B$114,$C20))</f>
        <v>—</v>
      </c>
      <c r="E20" s="17" t="str">
        <f>IF(TRAP_II!$B$23&lt;&gt;"PASS","",TRAP_II!$B$50)</f>
        <v/>
      </c>
      <c r="F20" s="18" t="str">
        <f>IF($C20="","",INDEX(BANK!$D$5:$D$114,$C20))</f>
        <v/>
      </c>
      <c r="G20" s="18" t="str">
        <f>IF($C20="","",INDEX(BANK!$E$5:$E$114,$C20))</f>
        <v/>
      </c>
      <c r="H20" s="17" t="str">
        <f>IF($C20="","",INDEX(BANK!$F$5:$F$114,$C20))</f>
        <v/>
      </c>
      <c r="I20" s="20"/>
      <c r="J20" s="21">
        <v>0</v>
      </c>
      <c r="K20" s="38">
        <v>3</v>
      </c>
    </row>
    <row r="22" spans="1:11" ht="15" customHeight="1" x14ac:dyDescent="0.3">
      <c r="A22" s="3" t="s">
        <v>210</v>
      </c>
    </row>
    <row r="23" spans="1:11" ht="15" customHeight="1" x14ac:dyDescent="0.3">
      <c r="A23" s="4" t="s">
        <v>211</v>
      </c>
      <c r="B23" s="16">
        <f>COUNT($I$6:$I$20)</f>
        <v>0</v>
      </c>
    </row>
    <row r="24" spans="1:11" ht="15" customHeight="1" x14ac:dyDescent="0.3">
      <c r="A24" s="4" t="s">
        <v>212</v>
      </c>
      <c r="B24" s="16">
        <f>SUM($I$6:$I$20)</f>
        <v>0</v>
      </c>
    </row>
    <row r="25" spans="1:11" ht="15" customHeight="1" x14ac:dyDescent="0.3">
      <c r="A25" s="4" t="s">
        <v>213</v>
      </c>
      <c r="B25" s="16">
        <f>IF(TRAP_II!$B$23&lt;&gt;"PASS",0,15)</f>
        <v>0</v>
      </c>
    </row>
    <row r="26" spans="1:11" ht="15" customHeight="1" x14ac:dyDescent="0.3">
      <c r="A26" s="4" t="s">
        <v>214</v>
      </c>
      <c r="B26" s="22" t="str">
        <f>IFERROR($B$24/$B$25,"")</f>
        <v/>
      </c>
      <c r="C26" s="2" t="s">
        <v>215</v>
      </c>
    </row>
    <row r="27" spans="1:11" ht="15" customHeight="1" x14ac:dyDescent="0.3">
      <c r="A27" s="4" t="s">
        <v>216</v>
      </c>
      <c r="B27" s="23">
        <f>HUONG_DAN!$B$22</f>
        <v>0.7</v>
      </c>
    </row>
    <row r="28" spans="1:11" ht="15" customHeight="1" x14ac:dyDescent="0.3">
      <c r="A28" s="4" t="s">
        <v>217</v>
      </c>
      <c r="B28" s="24" t="str">
        <f>IF(TRAP_II!$B$23&lt;&gt;"PASS","KHÓA",IF($B$23&lt;$B$25,"CHƯA XONG",IF($B$26&gt;=$B$27,"PASS","FAIL")))</f>
        <v>KHÓA</v>
      </c>
      <c r="C28" s="2" t="s">
        <v>218</v>
      </c>
    </row>
    <row r="29" spans="1:11" ht="15" customHeight="1" x14ac:dyDescent="0.3">
      <c r="A29" s="4" t="s">
        <v>219</v>
      </c>
      <c r="B29" s="16">
        <f>IF($B$28&lt;&gt;"PASS",0,IF($B$26&lt;0.8,2,IF($B$26&lt;0.9,3,4)))</f>
        <v>0</v>
      </c>
    </row>
    <row r="30" spans="1:11" ht="15" customHeight="1" x14ac:dyDescent="0.3">
      <c r="A30" s="4" t="s">
        <v>220</v>
      </c>
      <c r="B30" s="45">
        <f>TRAP_II!$B$25+$B$29+IF($B$28="PASS",HUONG_DAN!$B$24,0)</f>
        <v>3</v>
      </c>
      <c r="C30" s="2" t="s">
        <v>265</v>
      </c>
    </row>
    <row r="32" spans="1:11" ht="15" customHeight="1" x14ac:dyDescent="0.3">
      <c r="A32" s="4" t="s">
        <v>221</v>
      </c>
      <c r="B32" s="7" t="str">
        <f>IF(SUM($J$6:$J$20)=0,"OK — Arena này không được dùng vật phẩm","LỖI — luật cấm dùng vật phẩm ở Arena này")</f>
        <v>OK — Arena này không được dùng vật phẩm</v>
      </c>
    </row>
    <row r="34" spans="1:1" ht="15" customHeight="1" x14ac:dyDescent="0.3">
      <c r="A34" s="2"/>
    </row>
  </sheetData>
  <dataValidations count="1">
    <dataValidation type="list" allowBlank="1" sqref="I6:I20" xr:uid="{00000000-0002-0000-0600-000000000000}">
      <formula1>"0,1"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J28"/>
  <sheetViews>
    <sheetView zoomScaleNormal="100" workbookViewId="0">
      <selection activeCell="A6" sqref="A6"/>
    </sheetView>
  </sheetViews>
  <sheetFormatPr defaultColWidth="8.6640625" defaultRowHeight="14.4" x14ac:dyDescent="0.3"/>
  <cols>
    <col min="1" max="1" width="33.5546875" customWidth="1"/>
    <col min="2" max="6" width="12" customWidth="1"/>
    <col min="7" max="8" width="16" customWidth="1"/>
    <col min="9" max="9" width="14" customWidth="1"/>
    <col min="10" max="10" width="30" customWidth="1"/>
  </cols>
  <sheetData>
    <row r="1" spans="1:10" ht="17.25" customHeight="1" x14ac:dyDescent="0.3">
      <c r="A1" s="1" t="s">
        <v>266</v>
      </c>
    </row>
    <row r="2" spans="1:10" ht="15" customHeight="1" x14ac:dyDescent="0.3">
      <c r="A2" s="2" t="s">
        <v>267</v>
      </c>
    </row>
    <row r="3" spans="1:10" ht="15" customHeight="1" x14ac:dyDescent="0.3">
      <c r="A3" s="29" t="s">
        <v>268</v>
      </c>
      <c r="B3" s="39" t="str">
        <f>IF(BOSS!$B$28="PASS","Hoàn thành cả 5 Arena — bảng dưới đọc được đầy đủ.",IF(ARENA_1!$B$27&lt;&gt;"PASS","DỪNG Ở ARENA 1 — Let's retry! Chưa có dữ liệu Boss, bảng dưới chỉ phản ánh phần đã chơi.",IF(TRAP_I!$B$23&lt;&gt;"PASS","DỪNG Ở TRAP I — bảng dưới chưa đầy đủ.",IF(CROSSROADS!$B$23&lt;&gt;"PASS","DỪNG Ở CROSSROADS — bảng dưới chưa đầy đủ.",IF(TRAP_II!$B$23&lt;&gt;"PASS","DỪNG Ở TRAP II — bảng dưới chưa đầy đủ.","ĐANG Ở BOSS — chưa nhập đủ đáp án.")))))</f>
        <v>DỪNG Ở ARENA 1 — Let's retry! Chưa có dữ liệu Boss, bảng dưới chỉ phản ánh phần đã chơi.</v>
      </c>
    </row>
    <row r="4" spans="1:10" ht="15" customHeight="1" x14ac:dyDescent="0.3">
      <c r="A4" s="29" t="s">
        <v>269</v>
      </c>
      <c r="B4" s="40">
        <f>IFERROR((SUMIFS(ARENA_1!$F$5:$F$19,ARENA_1!$G$5:$G$19,1,ARENA_1!$H$5:$H$19,0)+SUMIFS(TRAP_I!$H$6:$H$15,TRAP_I!$I$6:$I$15,1,TRAP_I!$J$6:$J$15,0)+SUMIFS(CROSSROADS!$H$6:$H$15,CROSSROADS!$I$6:$I$15,1,CROSSROADS!$J$6:$J$15,0)+SUMIFS(TRAP_II!$H$6:$H$15,TRAP_II!$I$6:$I$15,1,TRAP_II!$J$6:$J$15,0)+SUMIFS(BOSS!$H$6:$H$20,BOSS!$I$6:$I$20,1,BOSS!$J$6:$J$20,0))/(SUM(ARENA_1!$F$5:$F$19)+SUM(TRAP_I!$H$6:$H$15)+SUM(CROSSROADS!$H$6:$H$15)+SUM(TRAP_II!$H$6:$H$15)+SUM(BOSS!$H$6:$H$20)),"")</f>
        <v>0</v>
      </c>
      <c r="C4" s="2" t="s">
        <v>270</v>
      </c>
    </row>
    <row r="5" spans="1:10" ht="15" customHeight="1" x14ac:dyDescent="0.3">
      <c r="A5" s="29" t="s">
        <v>271</v>
      </c>
      <c r="B5" s="41">
        <f>BOSS!$B$30</f>
        <v>3</v>
      </c>
      <c r="C5" s="2" t="s">
        <v>272</v>
      </c>
    </row>
    <row r="6" spans="1:10" x14ac:dyDescent="0.3">
      <c r="A6" s="29" t="s">
        <v>273</v>
      </c>
      <c r="B6" s="41">
        <f>TRAP_I!$B$26+CROSSROADS!$B$26+TRAP_II!$B$26</f>
        <v>0</v>
      </c>
      <c r="C6" s="2" t="s">
        <v>274</v>
      </c>
    </row>
    <row r="7" spans="1:10" ht="15" customHeight="1" x14ac:dyDescent="0.3">
      <c r="A7" s="12" t="s">
        <v>48</v>
      </c>
      <c r="B7" s="12" t="s">
        <v>275</v>
      </c>
      <c r="C7" s="12" t="s">
        <v>276</v>
      </c>
      <c r="D7" s="12" t="s">
        <v>277</v>
      </c>
      <c r="E7" s="12" t="s">
        <v>278</v>
      </c>
      <c r="F7" s="12" t="s">
        <v>279</v>
      </c>
      <c r="G7" s="12" t="s">
        <v>280</v>
      </c>
      <c r="H7" s="12" t="s">
        <v>281</v>
      </c>
      <c r="I7" s="12" t="s">
        <v>282</v>
      </c>
      <c r="J7" s="12" t="s">
        <v>283</v>
      </c>
    </row>
    <row r="8" spans="1:10" ht="15" customHeight="1" x14ac:dyDescent="0.3">
      <c r="A8" s="26" t="s">
        <v>56</v>
      </c>
      <c r="B8" s="17" t="str">
        <f>IF(COUNTIFS(ARENA_1!$C$5:$C$19,$A8,ARENA_1!$H$5:$H$19,0)=0,"--",SUMIFS(ARENA_1!$G$5:$G$19,ARENA_1!$C$5:$C$19,$A8,ARENA_1!$H$5:$H$19,0)&amp;"/"&amp;COUNTIFS(ARENA_1!$C$5:$C$19,$A8,ARENA_1!$H$5:$H$19,0))</f>
        <v>0/3</v>
      </c>
      <c r="C8" s="17" t="str">
        <f>IF(COUNTIFS(TRAP_I!$E$6:$E$15,$A8,TRAP_I!$J$6:$J$15,0)=0,"--",SUMIFS(TRAP_I!$I$6:$I$15,TRAP_I!$E$6:$E$15,$A8,TRAP_I!$J$6:$J$15,0)&amp;"/"&amp;COUNTIFS(TRAP_I!$E$6:$E$15,$A8,TRAP_I!$J$6:$J$15,0))</f>
        <v>--</v>
      </c>
      <c r="D8" s="17" t="str">
        <f>IF(COUNTIFS(CROSSROADS!$E$6:$E$15,$A8,CROSSROADS!$J$6:$J$15,0)=0,"--",SUMIFS(CROSSROADS!$I$6:$I$15,CROSSROADS!$E$6:$E$15,$A8,CROSSROADS!$J$6:$J$15,0)&amp;"/"&amp;COUNTIFS(CROSSROADS!$E$6:$E$15,$A8,CROSSROADS!$J$6:$J$15,0))</f>
        <v>--</v>
      </c>
      <c r="E8" s="17" t="str">
        <f>IF(COUNTIFS(TRAP_II!$E$6:$E$15,$A8,TRAP_II!$J$6:$J$15,0)=0,"--",SUMIFS(TRAP_II!$I$6:$I$15,TRAP_II!$E$6:$E$15,$A8,TRAP_II!$J$6:$J$15,0)&amp;"/"&amp;COUNTIFS(TRAP_II!$E$6:$E$15,$A8,TRAP_II!$J$6:$J$15,0))</f>
        <v>--</v>
      </c>
      <c r="F8" s="17" t="str">
        <f>IF(COUNTIFS(BOSS!$E$6:$E$20,$A8,BOSS!$J$6:$J$20,0)=0,"--",SUMIFS(BOSS!$I$6:$I$20,BOSS!$E$6:$E$20,$A8,BOSS!$J$6:$J$20,0)&amp;"/"&amp;COUNTIFS(BOSS!$E$6:$E$20,$A8,BOSS!$J$6:$J$20,0))</f>
        <v>--</v>
      </c>
      <c r="G8" s="27">
        <f>IFERROR((SUMIFS(ARENA_1!$G$5:$G$19,ARENA_1!$C$5:$C$19,$A8,ARENA_1!$H$5:$H$19,0)+SUMIFS(CROSSROADS!$I$6:$I$15,CROSSROADS!$E$6:$E$15,$A8,CROSSROADS!$J$6:$J$15,0))/(COUNTIFS(ARENA_1!$C$5:$C$19,$A8,ARENA_1!$H$5:$H$19,0)+COUNTIFS(CROSSROADS!$E$6:$E$15,$A8,CROSSROADS!$J$6:$J$15,0)),"")</f>
        <v>0</v>
      </c>
      <c r="H8" s="42" t="str">
        <f>IF(COUNTIFS(BOSS!$E$6:$E$20,$A8,BOSS!$J$6:$J$20,0)=0,"--",SUMIFS(BOSS!$I$6:$I$20,BOSS!$E$6:$E$20,$A8,BOSS!$J$6:$J$20,0)/COUNTIFS(BOSS!$E$6:$E$20,$A8,BOSS!$J$6:$J$20,0))</f>
        <v>--</v>
      </c>
      <c r="I8" s="43" t="str">
        <f>IF($H8="--","--",$H8-$G8)</f>
        <v>--</v>
      </c>
      <c r="J8" s="44" t="str">
        <f>IF($H8="--","Không kiểm tra lại ở Boss",IF(AND($H8&gt;=HUONG_DAN!$B$25,$I8&gt;=0),"Đã cải thiện",IF(AND($H8&lt;HUONG_DAN!$B$25,$I8&gt;0),"Đã cải thiện nhưng chưa đủ","Cần cải thiện tiếp")))</f>
        <v>Không kiểm tra lại ở Boss</v>
      </c>
    </row>
    <row r="9" spans="1:10" ht="15" customHeight="1" x14ac:dyDescent="0.3">
      <c r="A9" s="26" t="s">
        <v>62</v>
      </c>
      <c r="B9" s="17" t="str">
        <f>IF(COUNTIFS(ARENA_1!$C$5:$C$19,$A9,ARENA_1!$H$5:$H$19,0)=0,"--",SUMIFS(ARENA_1!$G$5:$G$19,ARENA_1!$C$5:$C$19,$A9,ARENA_1!$H$5:$H$19,0)&amp;"/"&amp;COUNTIFS(ARENA_1!$C$5:$C$19,$A9,ARENA_1!$H$5:$H$19,0))</f>
        <v>0/3</v>
      </c>
      <c r="C9" s="17" t="str">
        <f>IF(COUNTIFS(TRAP_I!$E$6:$E$15,$A9,TRAP_I!$J$6:$J$15,0)=0,"--",SUMIFS(TRAP_I!$I$6:$I$15,TRAP_I!$E$6:$E$15,$A9,TRAP_I!$J$6:$J$15,0)&amp;"/"&amp;COUNTIFS(TRAP_I!$E$6:$E$15,$A9,TRAP_I!$J$6:$J$15,0))</f>
        <v>--</v>
      </c>
      <c r="D9" s="17" t="str">
        <f>IF(COUNTIFS(CROSSROADS!$E$6:$E$15,$A9,CROSSROADS!$J$6:$J$15,0)=0,"--",SUMIFS(CROSSROADS!$I$6:$I$15,CROSSROADS!$E$6:$E$15,$A9,CROSSROADS!$J$6:$J$15,0)&amp;"/"&amp;COUNTIFS(CROSSROADS!$E$6:$E$15,$A9,CROSSROADS!$J$6:$J$15,0))</f>
        <v>--</v>
      </c>
      <c r="E9" s="17" t="str">
        <f>IF(COUNTIFS(TRAP_II!$E$6:$E$15,$A9,TRAP_II!$J$6:$J$15,0)=0,"--",SUMIFS(TRAP_II!$I$6:$I$15,TRAP_II!$E$6:$E$15,$A9,TRAP_II!$J$6:$J$15,0)&amp;"/"&amp;COUNTIFS(TRAP_II!$E$6:$E$15,$A9,TRAP_II!$J$6:$J$15,0))</f>
        <v>--</v>
      </c>
      <c r="F9" s="17" t="str">
        <f>IF(COUNTIFS(BOSS!$E$6:$E$20,$A9,BOSS!$J$6:$J$20,0)=0,"--",SUMIFS(BOSS!$I$6:$I$20,BOSS!$E$6:$E$20,$A9,BOSS!$J$6:$J$20,0)&amp;"/"&amp;COUNTIFS(BOSS!$E$6:$E$20,$A9,BOSS!$J$6:$J$20,0))</f>
        <v>--</v>
      </c>
      <c r="G9" s="27">
        <f>IFERROR((SUMIFS(ARENA_1!$G$5:$G$19,ARENA_1!$C$5:$C$19,$A9,ARENA_1!$H$5:$H$19,0)+SUMIFS(CROSSROADS!$I$6:$I$15,CROSSROADS!$E$6:$E$15,$A9,CROSSROADS!$J$6:$J$15,0))/(COUNTIFS(ARENA_1!$C$5:$C$19,$A9,ARENA_1!$H$5:$H$19,0)+COUNTIFS(CROSSROADS!$E$6:$E$15,$A9,CROSSROADS!$J$6:$J$15,0)),"")</f>
        <v>0</v>
      </c>
      <c r="H9" s="42" t="str">
        <f>IF(COUNTIFS(BOSS!$E$6:$E$20,$A9,BOSS!$J$6:$J$20,0)=0,"--",SUMIFS(BOSS!$I$6:$I$20,BOSS!$E$6:$E$20,$A9,BOSS!$J$6:$J$20,0)/COUNTIFS(BOSS!$E$6:$E$20,$A9,BOSS!$J$6:$J$20,0))</f>
        <v>--</v>
      </c>
      <c r="I9" s="43" t="str">
        <f>IF($H9="--","--",$H9-$G9)</f>
        <v>--</v>
      </c>
      <c r="J9" s="44" t="str">
        <f>IF($H9="--","Không kiểm tra lại ở Boss",IF(AND($H9&gt;=HUONG_DAN!$B$25,$I9&gt;=0),"Đã cải thiện",IF(AND($H9&lt;HUONG_DAN!$B$25,$I9&gt;0),"Đã cải thiện nhưng chưa đủ","Cần cải thiện tiếp")))</f>
        <v>Không kiểm tra lại ở Boss</v>
      </c>
    </row>
    <row r="10" spans="1:10" ht="15" customHeight="1" x14ac:dyDescent="0.3">
      <c r="A10" s="26" t="s">
        <v>64</v>
      </c>
      <c r="B10" s="17" t="str">
        <f>IF(COUNTIFS(ARENA_1!$C$5:$C$19,$A10,ARENA_1!$H$5:$H$19,0)=0,"--",SUMIFS(ARENA_1!$G$5:$G$19,ARENA_1!$C$5:$C$19,$A10,ARENA_1!$H$5:$H$19,0)&amp;"/"&amp;COUNTIFS(ARENA_1!$C$5:$C$19,$A10,ARENA_1!$H$5:$H$19,0))</f>
        <v>0/3</v>
      </c>
      <c r="C10" s="17" t="str">
        <f>IF(COUNTIFS(TRAP_I!$E$6:$E$15,$A10,TRAP_I!$J$6:$J$15,0)=0,"--",SUMIFS(TRAP_I!$I$6:$I$15,TRAP_I!$E$6:$E$15,$A10,TRAP_I!$J$6:$J$15,0)&amp;"/"&amp;COUNTIFS(TRAP_I!$E$6:$E$15,$A10,TRAP_I!$J$6:$J$15,0))</f>
        <v>--</v>
      </c>
      <c r="D10" s="17" t="str">
        <f>IF(COUNTIFS(CROSSROADS!$E$6:$E$15,$A10,CROSSROADS!$J$6:$J$15,0)=0,"--",SUMIFS(CROSSROADS!$I$6:$I$15,CROSSROADS!$E$6:$E$15,$A10,CROSSROADS!$J$6:$J$15,0)&amp;"/"&amp;COUNTIFS(CROSSROADS!$E$6:$E$15,$A10,CROSSROADS!$J$6:$J$15,0))</f>
        <v>--</v>
      </c>
      <c r="E10" s="17" t="str">
        <f>IF(COUNTIFS(TRAP_II!$E$6:$E$15,$A10,TRAP_II!$J$6:$J$15,0)=0,"--",SUMIFS(TRAP_II!$I$6:$I$15,TRAP_II!$E$6:$E$15,$A10,TRAP_II!$J$6:$J$15,0)&amp;"/"&amp;COUNTIFS(TRAP_II!$E$6:$E$15,$A10,TRAP_II!$J$6:$J$15,0))</f>
        <v>--</v>
      </c>
      <c r="F10" s="17" t="str">
        <f>IF(COUNTIFS(BOSS!$E$6:$E$20,$A10,BOSS!$J$6:$J$20,0)=0,"--",SUMIFS(BOSS!$I$6:$I$20,BOSS!$E$6:$E$20,$A10,BOSS!$J$6:$J$20,0)&amp;"/"&amp;COUNTIFS(BOSS!$E$6:$E$20,$A10,BOSS!$J$6:$J$20,0))</f>
        <v>--</v>
      </c>
      <c r="G10" s="27">
        <f>IFERROR((SUMIFS(ARENA_1!$G$5:$G$19,ARENA_1!$C$5:$C$19,$A10,ARENA_1!$H$5:$H$19,0)+SUMIFS(CROSSROADS!$I$6:$I$15,CROSSROADS!$E$6:$E$15,$A10,CROSSROADS!$J$6:$J$15,0))/(COUNTIFS(ARENA_1!$C$5:$C$19,$A10,ARENA_1!$H$5:$H$19,0)+COUNTIFS(CROSSROADS!$E$6:$E$15,$A10,CROSSROADS!$J$6:$J$15,0)),"")</f>
        <v>0</v>
      </c>
      <c r="H10" s="42" t="str">
        <f>IF(COUNTIFS(BOSS!$E$6:$E$20,$A10,BOSS!$J$6:$J$20,0)=0,"--",SUMIFS(BOSS!$I$6:$I$20,BOSS!$E$6:$E$20,$A10,BOSS!$J$6:$J$20,0)/COUNTIFS(BOSS!$E$6:$E$20,$A10,BOSS!$J$6:$J$20,0))</f>
        <v>--</v>
      </c>
      <c r="I10" s="43" t="str">
        <f>IF($H10="--","--",$H10-$G10)</f>
        <v>--</v>
      </c>
      <c r="J10" s="44" t="str">
        <f>IF($H10="--","Không kiểm tra lại ở Boss",IF(AND($H10&gt;=HUONG_DAN!$B$25,$I10&gt;=0),"Đã cải thiện",IF(AND($H10&lt;HUONG_DAN!$B$25,$I10&gt;0),"Đã cải thiện nhưng chưa đủ","Cần cải thiện tiếp")))</f>
        <v>Không kiểm tra lại ở Boss</v>
      </c>
    </row>
    <row r="11" spans="1:10" ht="15" customHeight="1" x14ac:dyDescent="0.3">
      <c r="A11" s="26" t="s">
        <v>66</v>
      </c>
      <c r="B11" s="17" t="str">
        <f>IF(COUNTIFS(ARENA_1!$C$5:$C$19,$A11,ARENA_1!$H$5:$H$19,0)=0,"--",SUMIFS(ARENA_1!$G$5:$G$19,ARENA_1!$C$5:$C$19,$A11,ARENA_1!$H$5:$H$19,0)&amp;"/"&amp;COUNTIFS(ARENA_1!$C$5:$C$19,$A11,ARENA_1!$H$5:$H$19,0))</f>
        <v>0/3</v>
      </c>
      <c r="C11" s="17" t="str">
        <f>IF(COUNTIFS(TRAP_I!$E$6:$E$15,$A11,TRAP_I!$J$6:$J$15,0)=0,"--",SUMIFS(TRAP_I!$I$6:$I$15,TRAP_I!$E$6:$E$15,$A11,TRAP_I!$J$6:$J$15,0)&amp;"/"&amp;COUNTIFS(TRAP_I!$E$6:$E$15,$A11,TRAP_I!$J$6:$J$15,0))</f>
        <v>--</v>
      </c>
      <c r="D11" s="17" t="str">
        <f>IF(COUNTIFS(CROSSROADS!$E$6:$E$15,$A11,CROSSROADS!$J$6:$J$15,0)=0,"--",SUMIFS(CROSSROADS!$I$6:$I$15,CROSSROADS!$E$6:$E$15,$A11,CROSSROADS!$J$6:$J$15,0)&amp;"/"&amp;COUNTIFS(CROSSROADS!$E$6:$E$15,$A11,CROSSROADS!$J$6:$J$15,0))</f>
        <v>--</v>
      </c>
      <c r="E11" s="17" t="str">
        <f>IF(COUNTIFS(TRAP_II!$E$6:$E$15,$A11,TRAP_II!$J$6:$J$15,0)=0,"--",SUMIFS(TRAP_II!$I$6:$I$15,TRAP_II!$E$6:$E$15,$A11,TRAP_II!$J$6:$J$15,0)&amp;"/"&amp;COUNTIFS(TRAP_II!$E$6:$E$15,$A11,TRAP_II!$J$6:$J$15,0))</f>
        <v>--</v>
      </c>
      <c r="F11" s="17" t="str">
        <f>IF(COUNTIFS(BOSS!$E$6:$E$20,$A11,BOSS!$J$6:$J$20,0)=0,"--",SUMIFS(BOSS!$I$6:$I$20,BOSS!$E$6:$E$20,$A11,BOSS!$J$6:$J$20,0)&amp;"/"&amp;COUNTIFS(BOSS!$E$6:$E$20,$A11,BOSS!$J$6:$J$20,0))</f>
        <v>--</v>
      </c>
      <c r="G11" s="27">
        <f>IFERROR((SUMIFS(ARENA_1!$G$5:$G$19,ARENA_1!$C$5:$C$19,$A11,ARENA_1!$H$5:$H$19,0)+SUMIFS(CROSSROADS!$I$6:$I$15,CROSSROADS!$E$6:$E$15,$A11,CROSSROADS!$J$6:$J$15,0))/(COUNTIFS(ARENA_1!$C$5:$C$19,$A11,ARENA_1!$H$5:$H$19,0)+COUNTIFS(CROSSROADS!$E$6:$E$15,$A11,CROSSROADS!$J$6:$J$15,0)),"")</f>
        <v>0</v>
      </c>
      <c r="H11" s="42" t="str">
        <f>IF(COUNTIFS(BOSS!$E$6:$E$20,$A11,BOSS!$J$6:$J$20,0)=0,"--",SUMIFS(BOSS!$I$6:$I$20,BOSS!$E$6:$E$20,$A11,BOSS!$J$6:$J$20,0)/COUNTIFS(BOSS!$E$6:$E$20,$A11,BOSS!$J$6:$J$20,0))</f>
        <v>--</v>
      </c>
      <c r="I11" s="43" t="str">
        <f>IF($H11="--","--",$H11-$G11)</f>
        <v>--</v>
      </c>
      <c r="J11" s="44" t="str">
        <f>IF($H11="--","Không kiểm tra lại ở Boss",IF(AND($H11&gt;=HUONG_DAN!$B$25,$I11&gt;=0),"Đã cải thiện",IF(AND($H11&lt;HUONG_DAN!$B$25,$I11&gt;0),"Đã cải thiện nhưng chưa đủ","Cần cải thiện tiếp")))</f>
        <v>Không kiểm tra lại ở Boss</v>
      </c>
    </row>
    <row r="12" spans="1:10" ht="15" customHeight="1" x14ac:dyDescent="0.3">
      <c r="A12" s="26" t="s">
        <v>69</v>
      </c>
      <c r="B12" s="17" t="str">
        <f>IF(COUNTIFS(ARENA_1!$C$5:$C$19,$A12,ARENA_1!$H$5:$H$19,0)=0,"--",SUMIFS(ARENA_1!$G$5:$G$19,ARENA_1!$C$5:$C$19,$A12,ARENA_1!$H$5:$H$19,0)&amp;"/"&amp;COUNTIFS(ARENA_1!$C$5:$C$19,$A12,ARENA_1!$H$5:$H$19,0))</f>
        <v>0/3</v>
      </c>
      <c r="C12" s="17" t="str">
        <f>IF(COUNTIFS(TRAP_I!$E$6:$E$15,$A12,TRAP_I!$J$6:$J$15,0)=0,"--",SUMIFS(TRAP_I!$I$6:$I$15,TRAP_I!$E$6:$E$15,$A12,TRAP_I!$J$6:$J$15,0)&amp;"/"&amp;COUNTIFS(TRAP_I!$E$6:$E$15,$A12,TRAP_I!$J$6:$J$15,0))</f>
        <v>--</v>
      </c>
      <c r="D12" s="17" t="str">
        <f>IF(COUNTIFS(CROSSROADS!$E$6:$E$15,$A12,CROSSROADS!$J$6:$J$15,0)=0,"--",SUMIFS(CROSSROADS!$I$6:$I$15,CROSSROADS!$E$6:$E$15,$A12,CROSSROADS!$J$6:$J$15,0)&amp;"/"&amp;COUNTIFS(CROSSROADS!$E$6:$E$15,$A12,CROSSROADS!$J$6:$J$15,0))</f>
        <v>--</v>
      </c>
      <c r="E12" s="17" t="str">
        <f>IF(COUNTIFS(TRAP_II!$E$6:$E$15,$A12,TRAP_II!$J$6:$J$15,0)=0,"--",SUMIFS(TRAP_II!$I$6:$I$15,TRAP_II!$E$6:$E$15,$A12,TRAP_II!$J$6:$J$15,0)&amp;"/"&amp;COUNTIFS(TRAP_II!$E$6:$E$15,$A12,TRAP_II!$J$6:$J$15,0))</f>
        <v>--</v>
      </c>
      <c r="F12" s="17" t="str">
        <f>IF(COUNTIFS(BOSS!$E$6:$E$20,$A12,BOSS!$J$6:$J$20,0)=0,"--",SUMIFS(BOSS!$I$6:$I$20,BOSS!$E$6:$E$20,$A12,BOSS!$J$6:$J$20,0)&amp;"/"&amp;COUNTIFS(BOSS!$E$6:$E$20,$A12,BOSS!$J$6:$J$20,0))</f>
        <v>--</v>
      </c>
      <c r="G12" s="27">
        <f>IFERROR((SUMIFS(ARENA_1!$G$5:$G$19,ARENA_1!$C$5:$C$19,$A12,ARENA_1!$H$5:$H$19,0)+SUMIFS(CROSSROADS!$I$6:$I$15,CROSSROADS!$E$6:$E$15,$A12,CROSSROADS!$J$6:$J$15,0))/(COUNTIFS(ARENA_1!$C$5:$C$19,$A12,ARENA_1!$H$5:$H$19,0)+COUNTIFS(CROSSROADS!$E$6:$E$15,$A12,CROSSROADS!$J$6:$J$15,0)),"")</f>
        <v>0</v>
      </c>
      <c r="H12" s="42" t="str">
        <f>IF(COUNTIFS(BOSS!$E$6:$E$20,$A12,BOSS!$J$6:$J$20,0)=0,"--",SUMIFS(BOSS!$I$6:$I$20,BOSS!$E$6:$E$20,$A12,BOSS!$J$6:$J$20,0)/COUNTIFS(BOSS!$E$6:$E$20,$A12,BOSS!$J$6:$J$20,0))</f>
        <v>--</v>
      </c>
      <c r="I12" s="43" t="str">
        <f>IF($H12="--","--",$H12-$G12)</f>
        <v>--</v>
      </c>
      <c r="J12" s="44" t="str">
        <f>IF($H12="--","Không kiểm tra lại ở Boss",IF(AND($H12&gt;=HUONG_DAN!$B$25,$I12&gt;=0),"Đã cải thiện",IF(AND($H12&lt;HUONG_DAN!$B$25,$I12&gt;0),"Đã cải thiện nhưng chưa đủ","Cần cải thiện tiếp")))</f>
        <v>Không kiểm tra lại ở Boss</v>
      </c>
    </row>
    <row r="14" spans="1:10" ht="15" customHeight="1" x14ac:dyDescent="0.3">
      <c r="A14" s="2" t="s">
        <v>284</v>
      </c>
    </row>
    <row r="15" spans="1:10" ht="15" customHeight="1" x14ac:dyDescent="0.3">
      <c r="A15" s="2" t="s">
        <v>285</v>
      </c>
    </row>
    <row r="17" spans="1:5" ht="15" customHeight="1" x14ac:dyDescent="0.3">
      <c r="A17" s="3" t="s">
        <v>286</v>
      </c>
    </row>
    <row r="18" spans="1:5" ht="15" customHeight="1" x14ac:dyDescent="0.3">
      <c r="A18" s="12" t="s">
        <v>287</v>
      </c>
      <c r="B18" s="12" t="s">
        <v>288</v>
      </c>
      <c r="C18" s="12"/>
      <c r="D18" s="12"/>
      <c r="E18" s="12" t="s">
        <v>283</v>
      </c>
    </row>
    <row r="19" spans="1:5" ht="37.200000000000003" customHeight="1" x14ac:dyDescent="0.3">
      <c r="A19" s="17">
        <v>1</v>
      </c>
      <c r="B19" s="47" t="s">
        <v>289</v>
      </c>
      <c r="C19" s="48"/>
      <c r="D19" s="48"/>
      <c r="E19" s="46" t="s">
        <v>290</v>
      </c>
    </row>
    <row r="20" spans="1:5" ht="37.200000000000003" customHeight="1" x14ac:dyDescent="0.3">
      <c r="A20" s="17">
        <v>2</v>
      </c>
      <c r="B20" s="47" t="s">
        <v>291</v>
      </c>
      <c r="C20" s="48"/>
      <c r="D20" s="48"/>
      <c r="E20" s="46" t="s">
        <v>292</v>
      </c>
    </row>
    <row r="21" spans="1:5" ht="37.200000000000003" customHeight="1" x14ac:dyDescent="0.3">
      <c r="A21" s="17">
        <v>3</v>
      </c>
      <c r="B21" s="47" t="s">
        <v>293</v>
      </c>
      <c r="C21" s="48"/>
      <c r="D21" s="48"/>
      <c r="E21" s="46" t="s">
        <v>294</v>
      </c>
    </row>
    <row r="22" spans="1:5" ht="37.200000000000003" customHeight="1" x14ac:dyDescent="0.3">
      <c r="A22" s="17">
        <v>4</v>
      </c>
      <c r="B22" s="47" t="s">
        <v>295</v>
      </c>
      <c r="C22" s="48"/>
      <c r="D22" s="48"/>
      <c r="E22" s="46" t="s">
        <v>296</v>
      </c>
    </row>
    <row r="24" spans="1:5" ht="15" customHeight="1" x14ac:dyDescent="0.3">
      <c r="A24" s="3"/>
    </row>
    <row r="25" spans="1:5" ht="25.5" customHeight="1" x14ac:dyDescent="0.3">
      <c r="A25" s="7"/>
      <c r="B25" s="5"/>
    </row>
    <row r="26" spans="1:5" ht="25.5" customHeight="1" x14ac:dyDescent="0.3">
      <c r="A26" s="7"/>
      <c r="B26" s="5"/>
    </row>
    <row r="27" spans="1:5" ht="25.5" customHeight="1" x14ac:dyDescent="0.3">
      <c r="A27" s="7"/>
      <c r="B27" s="5"/>
    </row>
    <row r="28" spans="1:5" ht="25.5" customHeight="1" x14ac:dyDescent="0.3">
      <c r="A28" s="7"/>
      <c r="B28" s="5"/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HUONG_DAN</vt:lpstr>
      <vt:lpstr>BANK</vt:lpstr>
      <vt:lpstr>ARENA_1</vt:lpstr>
      <vt:lpstr>TRAP_I</vt:lpstr>
      <vt:lpstr>CROSSROADS</vt:lpstr>
      <vt:lpstr>TRAP_II</vt:lpstr>
      <vt:lpstr>BOSS</vt:lpstr>
      <vt:lpstr>O4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Nguyễn Thiện Chiến</cp:lastModifiedBy>
  <cp:revision>0</cp:revision>
  <dcterms:created xsi:type="dcterms:W3CDTF">2026-09-12T13:51:55Z</dcterms:created>
  <dcterms:modified xsi:type="dcterms:W3CDTF">2026-09-12T14:47:36Z</dcterms:modified>
  <dc:language>en-US</dc:language>
</cp:coreProperties>
</file>